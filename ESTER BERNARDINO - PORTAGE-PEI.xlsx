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30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31.xml"/>
  <Override ContentType="application/vnd.openxmlformats-officedocument.drawingml.chart+xml" PartName="/xl/charts/chart26.xml"/>
  <Override ContentType="application/vnd.openxmlformats-officedocument.drawingml.chart+xml" PartName="/xl/charts/chart39.xml"/>
  <Override ContentType="application/vnd.openxmlformats-officedocument.drawingml.chart+xml" PartName="/xl/charts/chart35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34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38.xml"/>
  <Override ContentType="application/vnd.openxmlformats-officedocument.drawingml.chart+xml" PartName="/xl/charts/chart16.xml"/>
  <Override ContentType="application/vnd.openxmlformats-officedocument.drawingml.chart+xml" PartName="/xl/charts/chart41.xml"/>
  <Override ContentType="application/vnd.openxmlformats-officedocument.drawingml.chart+xml" PartName="/xl/charts/chart11.xml"/>
  <Override ContentType="application/vnd.openxmlformats-officedocument.drawingml.chart+xml" PartName="/xl/charts/chart29.xml"/>
  <Override ContentType="application/vnd.openxmlformats-officedocument.drawingml.chart+xml" PartName="/xl/charts/chart37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33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28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40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32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drawingml.chart+xml" PartName="/xl/charts/chart3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 1" sheetId="1" r:id="rId4"/>
    <sheet state="visible" name="CÁLCULOS e GRAF AV1" sheetId="2" r:id="rId5"/>
    <sheet state="visible" name="PEI AV1" sheetId="3" r:id="rId6"/>
    <sheet state="visible" name="AV 2" sheetId="4" r:id="rId7"/>
    <sheet state="visible" name="CÁLCULOS E GRAF AV2" sheetId="5" r:id="rId8"/>
    <sheet state="visible" name="PEI AV 2" sheetId="6" r:id="rId9"/>
    <sheet state="visible" name="AV 3" sheetId="7" r:id="rId10"/>
    <sheet state="visible" name="CÁLCULOS E GRÁF AV3" sheetId="8" r:id="rId11"/>
    <sheet state="visible" name="PEI AV 3" sheetId="9" r:id="rId12"/>
    <sheet state="visible" name="CONSOLIDADO" sheetId="10" r:id="rId13"/>
  </sheets>
  <definedNames>
    <definedName hidden="1" localSheetId="0" name="_xlnm._FilterDatabase">'AV 1'!$B$12:$P$12</definedName>
    <definedName hidden="1" localSheetId="2" name="_xlnm._FilterDatabase">'PEI AV1'!$A$11:$C$614</definedName>
    <definedName hidden="1" localSheetId="3" name="_xlnm._FilterDatabase">'AV 2'!$B$12:$P$12</definedName>
    <definedName hidden="1" localSheetId="5" name="_xlnm._FilterDatabase">'PEI AV 2'!$A$11:$C$11</definedName>
    <definedName hidden="1" localSheetId="6" name="_xlnm._FilterDatabase">'AV 3'!$B$12:$P$12</definedName>
    <definedName hidden="1" localSheetId="8" name="_xlnm._FilterDatabase">'PEI AV 3'!$A$11:$C$11</definedName>
  </definedNames>
  <calcPr/>
  <extLst>
    <ext uri="GoogleSheetsCustomDataVersion2">
      <go:sheetsCustomData xmlns:go="http://customooxmlschemas.google.com/" r:id="rId14" roundtripDataChecksum="r+SVpS+V+jUBXllpgCyRksTnYL1d7CWrRVHayE94xJo="/>
    </ext>
  </extLst>
</workbook>
</file>

<file path=xl/sharedStrings.xml><?xml version="1.0" encoding="utf-8"?>
<sst xmlns="http://schemas.openxmlformats.org/spreadsheetml/2006/main" count="2162" uniqueCount="637">
  <si>
    <t xml:space="preserve">GUIA PORTAGE DE EDUCAÇÃO PRÉ-ESCOLAR </t>
  </si>
  <si>
    <t xml:space="preserve">Nome: </t>
  </si>
  <si>
    <t>ESTER BERNARDINO PEREIRA</t>
  </si>
  <si>
    <t xml:space="preserve">Idade: </t>
  </si>
  <si>
    <t xml:space="preserve">Avaliador: </t>
  </si>
  <si>
    <t>AVELINA</t>
  </si>
  <si>
    <t xml:space="preserve">Data da Avaliação: </t>
  </si>
  <si>
    <t>* Nas tabelas abaixo, insira apenas SIM, NÃO, ÀS VEZES e NA (se Não Avaliado) QUE CONSTAM NA LISTA DE OPÇÕES DE CADA CÉLULA. Não digite texto algum, apenas selecione a opção da lista. Os totais e pontos são automáticos.</t>
  </si>
  <si>
    <t>Legendas: Sim (alcançou): 1 pto | N – Não - ainda não alcançou: 0 pto | AV - Às vezes: 0,5 ptos | NA: Não Avaliado | Total de Acertos = Pontuação Total. Não deixe espaços vazios. Se o item não foi avaliado, marque a opção NA.</t>
  </si>
  <si>
    <t>SOCIALIZAÇÃO</t>
  </si>
  <si>
    <t>LINGUAGEM</t>
  </si>
  <si>
    <t>COGNIÇÃO</t>
  </si>
  <si>
    <t>AUTOCUIDADOS</t>
  </si>
  <si>
    <t>DESENVOLVIMENTO MOTOR</t>
  </si>
  <si>
    <t>Socialização - 0 a 1 ano</t>
  </si>
  <si>
    <t>Sim/Não/Às vezes</t>
  </si>
  <si>
    <t>Ptos</t>
  </si>
  <si>
    <t>Linguagem – 0 a 1 anos</t>
  </si>
  <si>
    <t>Cognição – 0 a 1 ano</t>
  </si>
  <si>
    <t>Auto cuidados – 0 a 1 anos</t>
  </si>
  <si>
    <t>Desenvolvimento Motor – 0 a 1 ano</t>
  </si>
  <si>
    <t>01 Observa uma pessoa movimentando-se em seu campo visual.</t>
  </si>
  <si>
    <t>01 Repete sons emitidos por outras pessoas.</t>
  </si>
  <si>
    <t>01 Remove um pano do rosto que obscureça sua visão.</t>
  </si>
  <si>
    <t>01 Suga e deglute líquidos.</t>
  </si>
  <si>
    <t>01 Alcança um objeto colocado à sua frente (15 a 20 cm.).</t>
  </si>
  <si>
    <t>02 Sorri em resposta à atenção do adulto</t>
  </si>
  <si>
    <t>02 Repete a mesma sílaba 2 a 3 vezes.</t>
  </si>
  <si>
    <t>02 Procura com o olhar um objeto que foi tirado de seu campo visual.</t>
  </si>
  <si>
    <t>02 Toma mingau / sopinha.</t>
  </si>
  <si>
    <t>02 Apanha um objeto colocado à sua frente (8 cm.).</t>
  </si>
  <si>
    <t>03 Vocaliza em resposta à atenção</t>
  </si>
  <si>
    <t>03 Responde a gestos com gestos.</t>
  </si>
  <si>
    <t>03 Remove um objeto de um recipiente colocando a mão dentro do mesmo</t>
  </si>
  <si>
    <t>03 Estende as mãos em direção a mamadeira, tentando pegá-la</t>
  </si>
  <si>
    <t>03 Estende os braços em direção a um objeto à sua frente e o apanha.</t>
  </si>
  <si>
    <t>04 Olha para sua própria mão, sorrindo ou vocalizando</t>
  </si>
  <si>
    <t>04 Obedece a uma ordem simples, quando acompanhada de gestos indicativos.</t>
  </si>
  <si>
    <t>04 Coloca um objeto em um recipiente imitando um adulto.</t>
  </si>
  <si>
    <t>04 Come alimentos liquidificados dados pelos pais.</t>
  </si>
  <si>
    <t>04 Alcança um objeto preferido.</t>
  </si>
  <si>
    <t>05 Responde a seu círculo familiar, sorrindo, vocalizando ou parando de chorar</t>
  </si>
  <si>
    <t>05 Interrompe a atividade quando lhe dizem "Não" 75% das vezes.</t>
  </si>
  <si>
    <t>05 Coloca um objeto em um recipiente quando recebe instruções.</t>
  </si>
  <si>
    <t>05 Segura a mamadeira sem ajuda enquanto bebe.</t>
  </si>
  <si>
    <t>05 Coloca objetos na boca.</t>
  </si>
  <si>
    <t>06 Sorri em resposta à expressão facial dos outros.</t>
  </si>
  <si>
    <t>06 Responde a perguntas simples com respostas não verbais.</t>
  </si>
  <si>
    <t>06 Balança um brinquedo que produz som, pendurado em um barbante.</t>
  </si>
  <si>
    <t>06 Leva a mamadeira até a boca ou a recusa, empurrando-a</t>
  </si>
  <si>
    <t>06 Eleva a cabeça e o tronco apoiando-se nos braços, ao estar deitado de barriga para baixo.</t>
  </si>
  <si>
    <t>07 Sorri e vocaliza ao ver sua imagem no espelho</t>
  </si>
  <si>
    <t>07 Combina 2 sílabas diferentes quando tenta verbalizar.</t>
  </si>
  <si>
    <t>07 Coloca três objetos em um recipiente e o esvazia.</t>
  </si>
  <si>
    <t>07 Come alimentos amassados dados pelos pais.</t>
  </si>
  <si>
    <t>07 Levanta a cabeça e o tronco apoiando-se em um só braço.</t>
  </si>
  <si>
    <t>08 Acaricia ou toca no rosto de adultos (puxa cabelo, nariz, óculos, etc.).</t>
  </si>
  <si>
    <t>08 Imita padrões de entonação da voz de outras pessoas.</t>
  </si>
  <si>
    <t>08 Transfere um objeto de uma mão à outra para apanhar outro objeto.</t>
  </si>
  <si>
    <t>08 Bebe em uma caneca, segurada pelos pais.</t>
  </si>
  <si>
    <t>08 Toca e explora objetos com a boca.</t>
  </si>
  <si>
    <t>09 Estende a mão em direção a um objeto oferecido.</t>
  </si>
  <si>
    <t>09 Usa uma palavra funcionalmente para indicar objetos ou pessoas.</t>
  </si>
  <si>
    <t>09 Deixa cair e apanha um brinquedo.</t>
  </si>
  <si>
    <t>09 Come alimentos semissólidos dados pelos pais.</t>
  </si>
  <si>
    <t>09 Em DV (decúbito ventral, de bruços), vira de lado e mantém esta posição ½ das vezes.</t>
  </si>
  <si>
    <t>10 Estende os braços em direção a pessoas familiares</t>
  </si>
  <si>
    <t>10 Vocaliza em resposta à fala de outras pessoas.</t>
  </si>
  <si>
    <t>10 Descobre um objeto escondido sob um recipiente.</t>
  </si>
  <si>
    <t>10 Alimenta-se sozinho usando os dedos.</t>
  </si>
  <si>
    <t>10 Em DV, vira de costas.</t>
  </si>
  <si>
    <t>11 Estende a mão e toca sua imagem refletida no espelho.</t>
  </si>
  <si>
    <t>Total de Acertos</t>
  </si>
  <si>
    <t>11 Empurra 3 blocos como se fosse um comboio.</t>
  </si>
  <si>
    <t>11 Segura a caneca com ambas as mãos e bebe.</t>
  </si>
  <si>
    <t>11 Em DV, move-se para frente o equivalente à sua altura.</t>
  </si>
  <si>
    <t>12 Segura e examina por 1 minuto um objeto que lhe foi dado.</t>
  </si>
  <si>
    <t>Linguagem – 1 a 2 anos</t>
  </si>
  <si>
    <t>12 Remove um círculo de uma prancha, por imitação.</t>
  </si>
  <si>
    <t>12 Leva a colher cheia de comida até a boca com ajuda.</t>
  </si>
  <si>
    <t>12 Em DD (decúbito dorsal), rola para o lado.</t>
  </si>
  <si>
    <t>13 Sacode ou aperta um objeto colocado em sua mão, produzindo sons involuntários.</t>
  </si>
  <si>
    <t>11 Diz 5 palavras diferentes.</t>
  </si>
  <si>
    <t>13 Coloca um pino redondo em uma prancha de pinos, quando solicitado.</t>
  </si>
  <si>
    <t>13 Estica braços e pernas ao ser vestido.</t>
  </si>
  <si>
    <t>13 Em DD, vira de barriga para baixo.</t>
  </si>
  <si>
    <t>14 Brinca sozinho por 10 minutos.</t>
  </si>
  <si>
    <t>12 Pede "mais".</t>
  </si>
  <si>
    <t>14 Executa gestos simples quando requisitado.</t>
  </si>
  <si>
    <t>14 Faz esforço para sentar-se, segurando nos dedos do adulto.</t>
  </si>
  <si>
    <t>15 Procura contato visual quando alguém lhe dá atenção por 2 a 3 minutos.</t>
  </si>
  <si>
    <t>13 Diz "acabou".</t>
  </si>
  <si>
    <t>Auto cuidados – 1 a 2 anos</t>
  </si>
  <si>
    <t>15 Vira a cabeça com facilidade quando o corpo está apoiado.</t>
  </si>
  <si>
    <t>16 Brinca sozinho sem reclamar por 15 a 20 minutos, próximo de um adulto.</t>
  </si>
  <si>
    <t>14 Obedece a 3 ordens diferentes que não são acompanhadas de gestos indicativos.</t>
  </si>
  <si>
    <t>Cognição – 1 a 2 anos</t>
  </si>
  <si>
    <t>14 Come com colher de modo independente.</t>
  </si>
  <si>
    <t>16 Mantém-se sentado por 2 minutos.</t>
  </si>
  <si>
    <t>17 Vocaliza para obter atenção</t>
  </si>
  <si>
    <t>15 Consegue "dar" ou "mostrar" quando solicitado.</t>
  </si>
  <si>
    <t>15 Retira 6 objetos de um recipiente, um por vez.</t>
  </si>
  <si>
    <t>15 Segura a caneca com uma só mão e bebe.</t>
  </si>
  <si>
    <t>17 Solta um objeto para apanhar outro.</t>
  </si>
  <si>
    <t>18 Imita adulto em brincadeiras de esconde-esconde</t>
  </si>
  <si>
    <t>16 Aponta para 12 objetos quando nomeados.</t>
  </si>
  <si>
    <t>16 Aponta para uma parte do corpo.</t>
  </si>
  <si>
    <t>16 Coloca a mão na água e dá tapinhas no rosto com as mãos molhadas, imitando alguém.</t>
  </si>
  <si>
    <t>18 Apanha e deixa cair um objeto propositalmente.</t>
  </si>
  <si>
    <t>19 Bate palmas, imitando um adulto</t>
  </si>
  <si>
    <t>17 Aponta para 3 a 5 figuras em um livro.</t>
  </si>
  <si>
    <t>17 Empilha 3 blocos, dada a ordem.</t>
  </si>
  <si>
    <t>17 Senta-se em um piniquinho ou sanitário infantil por 5 min</t>
  </si>
  <si>
    <t>19 Fica em pé com o máximo de apoio.</t>
  </si>
  <si>
    <t>20 Acena a mão, imitando um adulto.</t>
  </si>
  <si>
    <t>18 Aponta para 3 partes de seu próprio corpo.</t>
  </si>
  <si>
    <t>18 Emparelha objetos semelhantes.</t>
  </si>
  <si>
    <t>18 Coloca um chapéu na cabeça e o remove.</t>
  </si>
  <si>
    <t>20 Estando em pé com apoio, pula para cima e para baixo.</t>
  </si>
  <si>
    <t>21 Ergue os braços para expressar “grande”, imitando um adulto</t>
  </si>
  <si>
    <t>19 Diz seu nome ou apelido quando solicitado.</t>
  </si>
  <si>
    <t>19 Faz rabiscos no papel.</t>
  </si>
  <si>
    <t>19 Tira as meias.</t>
  </si>
  <si>
    <t>21 Engatinha para apanhar um objeto (distante a sua altura).</t>
  </si>
  <si>
    <t>22 Oferece algo, mas nem sempre entrega.</t>
  </si>
  <si>
    <t>20 Responde à pergunta "O que é isto?"</t>
  </si>
  <si>
    <t>20 Aponta para si quando perguntam "Cadê o Fulano?"</t>
  </si>
  <si>
    <t>20 Empurra os braços pelas mangas e os pés pelas pernas da calça.</t>
  </si>
  <si>
    <t>22 Senta-se apoiando-se sozinho.</t>
  </si>
  <si>
    <t>23 Abraça, acaricia e beija familiares.</t>
  </si>
  <si>
    <t>21 Combina palavras e gestos para expressar desejos.</t>
  </si>
  <si>
    <t>21 Coloca 5 pinos redondos, dada a ordem.</t>
  </si>
  <si>
    <t>21 Tira os sapatos quando os cordões estiverem desamarrados</t>
  </si>
  <si>
    <t>23 Estando sentado, vira de gatinhas.</t>
  </si>
  <si>
    <t>24 Responde ao próprio nome, olhando ou estendendo o braço para ser pego.</t>
  </si>
  <si>
    <t>22 Nomeia 5 membros da família, incluindo animais.</t>
  </si>
  <si>
    <t>22 Emparelha objetos com a figura do mesmo nome.</t>
  </si>
  <si>
    <t>22 Tira o casaco quando desabotoado.</t>
  </si>
  <si>
    <t>24 Estando em DV consegue sentar-se.</t>
  </si>
  <si>
    <t>25 Aperta ou sacode um brinquedo para produzir sons, em imitação.</t>
  </si>
  <si>
    <t>23 Nomeia 4 brinquedos.</t>
  </si>
  <si>
    <t>23 Aponta para a figura nomeada.</t>
  </si>
  <si>
    <t>23 Tira a calça quando desabotoada.</t>
  </si>
  <si>
    <t>25 Senta-se sem o apoio das mãos.</t>
  </si>
  <si>
    <t>26 Manipula brinquedo ou objeto.</t>
  </si>
  <si>
    <t>24 Produz sons de animais, ou os nomeia pelo som</t>
  </si>
  <si>
    <t>24 Vira as páginas de um livro (2/3 por vez) para encontrar a figura nomeada.</t>
  </si>
  <si>
    <t>24 Puxa um fecho grande para cima e para baixo.</t>
  </si>
  <si>
    <t>26 Atira objetos ao acaso.</t>
  </si>
  <si>
    <t>27 Estende um brinquedo ou objeto a um adulto e o entrega.</t>
  </si>
  <si>
    <t>25 Pede alimentos conhecidos pelo nome, quando mostrados.</t>
  </si>
  <si>
    <t>25 Utiliza palavras ou gestos indicando necessidade de ir ao banheiro.</t>
  </si>
  <si>
    <t>27 Balança para frente e para trás quando de gatinhas.</t>
  </si>
  <si>
    <t>28 Imita movimentos de outras crianças ao brincar.</t>
  </si>
  <si>
    <t>26 Faz perguntas variando a entonação da voz</t>
  </si>
  <si>
    <t>Cognição – 2 a 3 anos</t>
  </si>
  <si>
    <t>28 Transfere objetos de uma mão para outra quando sentado.</t>
  </si>
  <si>
    <t>27 Nomeia 3 partes do corpo em uma boneca ou outra pessoa.</t>
  </si>
  <si>
    <t>25 Encontra determinado livro quando solicitado.</t>
  </si>
  <si>
    <t>Auto cuidados – 2 a 3 anos</t>
  </si>
  <si>
    <t>29 Retém em uma das mãos 2 cubos de 2,5 cm.</t>
  </si>
  <si>
    <t>Socialização – 1 a 2 anos</t>
  </si>
  <si>
    <t>28 Responde a perguntas de sim / não.</t>
  </si>
  <si>
    <t>26 Completa um quebra-cabeça de encaixe de 3 peças.</t>
  </si>
  <si>
    <t>26 Alimenta-se sozinho usando colher ou caneca, derrubando um pouco de comida ou derramando pouco líquido.</t>
  </si>
  <si>
    <t>Sim</t>
  </si>
  <si>
    <t>30 Fica de joelhos.</t>
  </si>
  <si>
    <t>29 Imita um adulto em uma tarefa simples.</t>
  </si>
  <si>
    <t>27 Nomeia 4 objetos comuns em figuras.</t>
  </si>
  <si>
    <t>27 Quando recebe uma toalha enxuga as mãos e o rosto com ajuda</t>
  </si>
  <si>
    <t>31 Fica em pé, apoiando-se em algo.</t>
  </si>
  <si>
    <t>30 Brinca ao lado de outra criança, cada uma realizando tarefas diferentes.</t>
  </si>
  <si>
    <t>Linguagem – 2 a 3 anos</t>
  </si>
  <si>
    <t>28 Desenha uma linha vertical imitando um adulto.</t>
  </si>
  <si>
    <t>28 Suga líquido do copo ou caneca usando canudinho.</t>
  </si>
  <si>
    <t>32 Usa preensão de pinça para pegar objetos.</t>
  </si>
  <si>
    <t>31 Toma parte em uma brincadeira com outra criança por 2 a 5 minutos.</t>
  </si>
  <si>
    <t>29 Combina substantivos ou adjetivos e substantivos em frases de 2 palavras.</t>
  </si>
  <si>
    <t>29 Desenha uma linha horizontal imitando um adulto.</t>
  </si>
  <si>
    <t>29 Dá garfadas.</t>
  </si>
  <si>
    <t>33 Engatinha.</t>
  </si>
  <si>
    <t>32 Aceita a ausência dos pais, embora possa reclamar.</t>
  </si>
  <si>
    <t>30 Combina substantivo e verbo em frases de 2 palavras</t>
  </si>
  <si>
    <t>30 Copia um círculo.</t>
  </si>
  <si>
    <t>30 Mastiga e engole apenas substâncias comestíveis.</t>
  </si>
  <si>
    <t>34 Estando de gatinhas, estende uma das mãos para o alto.</t>
  </si>
  <si>
    <t>33 Explora ativamente seu meio ambiente.</t>
  </si>
  <si>
    <t>31 Usa uma palavra para indicar que quer ir ao banheiro</t>
  </si>
  <si>
    <t>31 Emparelha objetos com a mesma textura.</t>
  </si>
  <si>
    <t>31 Enxuga as mãos sem ajuda ao lhe darem uma toalha</t>
  </si>
  <si>
    <t>35 Fica em pé com o mínimo de apoio.</t>
  </si>
  <si>
    <t>34 Realiza atividade manipulativa com outra pessoa.</t>
  </si>
  <si>
    <t>32 Combina verbo ou substantivo com "lá" e "aqui" em frases de 2 palavras.</t>
  </si>
  <si>
    <t>32 Aponta o "pequeno" e o "grande" quando solicitado.</t>
  </si>
  <si>
    <t>32 Avisa que quer ir ao banheiro, mesmo sendo tarde demais.</t>
  </si>
  <si>
    <t>36 Lambe a comida ao redor da boca.</t>
  </si>
  <si>
    <t>35 Abraça e carrega uma boneca ou brinquedo macio.</t>
  </si>
  <si>
    <t>33 Combina 2 palavras para expressar posse.</t>
  </si>
  <si>
    <t>33 Desenha (+) imitando um adulto.</t>
  </si>
  <si>
    <t>33 Controla sua baba.</t>
  </si>
  <si>
    <t>37 Mantém-se em pé sozinho por um minuto.</t>
  </si>
  <si>
    <t>36 Repete ações que produzem risos e atenção.</t>
  </si>
  <si>
    <t>34 Emprega "não" na fala</t>
  </si>
  <si>
    <t>34 Emparelha 3 cores.</t>
  </si>
  <si>
    <t>34 Urina ou defeca quando colocado no piniquinho pelo menos 3 vezes por semana.</t>
  </si>
  <si>
    <t>Não</t>
  </si>
  <si>
    <t>38 Derruba um objeto que está dentro de um recipiente.</t>
  </si>
  <si>
    <t>37 Dá um livro para que um adulto o leia ou para que ambos o compartilhem.</t>
  </si>
  <si>
    <t>35 Responde à pergunta "O que .... está fazendo?" para atividade habituais.</t>
  </si>
  <si>
    <t>35 Coloca objetos dentro, em cima e em baixo de um recipiente, dada a ordem.</t>
  </si>
  <si>
    <t>35 Calça os sapatos.</t>
  </si>
  <si>
    <t>39 Vira várias páginas de um livro ao mesmo tempo.</t>
  </si>
  <si>
    <t>38 Puxa uma pessoa a mostrar-lhe algo.</t>
  </si>
  <si>
    <t>36 Responde a perguntas tipo "Onde está objeto?"</t>
  </si>
  <si>
    <t>36 Nomeia objetos quando ouve o barulho que fazem.</t>
  </si>
  <si>
    <t>36 Escova os dentes imitando um adulto.</t>
  </si>
  <si>
    <t>40 Escava com uma colher ou pá.</t>
  </si>
  <si>
    <t>39 Retira a mão ou diz "não" quando está próximo de um objeto não permitido e alguém o lembra disto.</t>
  </si>
  <si>
    <t>37 Nomeia sons ambientais familiares.</t>
  </si>
  <si>
    <t>37 Monta um brinquedo de encaixe de 4 peças.</t>
  </si>
  <si>
    <t>37 Retira roupas simples que foram desabotoadas.</t>
  </si>
  <si>
    <t>41 Coloca pequenos objetos dentro do recipiente.</t>
  </si>
  <si>
    <t>40 Quando colocado em sua cadeira ou trocador espera ser atendido.</t>
  </si>
  <si>
    <t>38 Dá mais de um objeto quando se usa a forma plural na solicitação.</t>
  </si>
  <si>
    <t>38 Nomeia ações em figuras ("O que ... está fazendo?").</t>
  </si>
  <si>
    <t>38 Usa o banheiro para defecar (falha apenas 1x por semana).</t>
  </si>
  <si>
    <t>42 Estando de pé, abaixa-se e senta.</t>
  </si>
  <si>
    <t>41 Brinca com 2 ou 3 crianças da sua idade.</t>
  </si>
  <si>
    <t>39 Ao falar, refere-se a si próprio pelo nome.</t>
  </si>
  <si>
    <t>39 Emparelha forma geométrica com a figura da mesma.</t>
  </si>
  <si>
    <t>39 Obtém água de uma torneira sem ajuda.</t>
  </si>
  <si>
    <t>43 Bate palmas.</t>
  </si>
  <si>
    <t>42 Compartilha um objeto ou alimento com outra criança.</t>
  </si>
  <si>
    <t>40 Aponta para figuras de objetos comuns descritos pelo uso (até 10) ("O que se usa pra comer? = colher")</t>
  </si>
  <si>
    <t>40 Empilha 5 ou mais argolas em uma vara na ordem.</t>
  </si>
  <si>
    <t>40 Lava as mãos e o rosto com um sabonete.</t>
  </si>
  <si>
    <t>44 Anda com um mínimo de apoio.</t>
  </si>
  <si>
    <t>43 Cumprimenta colegas ou adultos quando lembrado.</t>
  </si>
  <si>
    <t>41 Mostra a idade pelos dedos.</t>
  </si>
  <si>
    <t>41 Avisa que quer ir ao banheiro durante o dia a tempo.</t>
  </si>
  <si>
    <t>45 Dá alguns passos sem apoio.</t>
  </si>
  <si>
    <t>42 Diz seu sexo quando solicitado.</t>
  </si>
  <si>
    <t>Cognição – 3 a 4 anos</t>
  </si>
  <si>
    <t>42 Pendura o casaco em um gancho da sua altura.</t>
  </si>
  <si>
    <t>Socialização – 2 a 3 anos</t>
  </si>
  <si>
    <t>43 Obedece à seqüência de duas ordens relacionadas.</t>
  </si>
  <si>
    <t>41 Nomeia objetos como sendo grandes ou pequenos.</t>
  </si>
  <si>
    <t>43 Permanece seco ao dormir durante o dia.</t>
  </si>
  <si>
    <t>Desenvolvimento Motor – 1 a 2 anos</t>
  </si>
  <si>
    <t>44 Obedece às ordens dos pais pelo menos ½ das vezes.</t>
  </si>
  <si>
    <t>44 Usa a forma do verbo no gerúndio.</t>
  </si>
  <si>
    <t>42 Aponta para 10 partes do corpo quando requisitado.</t>
  </si>
  <si>
    <t>44 Evita riscos, por ex: pontas em móveis e escadas sem corrimão.</t>
  </si>
  <si>
    <t>46 Sobe escadas engatinhando.</t>
  </si>
  <si>
    <t>45 Busca / leva um objeto ou pessoa, quando solicitado.</t>
  </si>
  <si>
    <t>45 Emprega formas regulares no plural.</t>
  </si>
  <si>
    <t>43 Aponta para menino e menina, dada a ordem.</t>
  </si>
  <si>
    <t>45 Usa guardanapo quando recomendado.</t>
  </si>
  <si>
    <t>47 Coloca-se em pé, estando sentado.</t>
  </si>
  <si>
    <t>46 Presta atenção à estória ou música por 5 a 10 min.</t>
  </si>
  <si>
    <t>46 Emprega algumas formas irregulares de verbos no passado de forma sistemática.</t>
  </si>
  <si>
    <t>44 Diz se um objeto é pesado ou leve.</t>
  </si>
  <si>
    <t>46 Espeta o garfo na comida, levando-a a boca.</t>
  </si>
  <si>
    <t>48 Rola uma bola imitando um adulto.</t>
  </si>
  <si>
    <t>47 Diz "Por favor" ou "Obrigado" quando lembrado.</t>
  </si>
  <si>
    <t>47 Faz perguntas do tipo "O que é isso?"</t>
  </si>
  <si>
    <t>45 Une 2 partes de uma figura para formar o todo.</t>
  </si>
  <si>
    <t>47 Despeja líquido de uma peq. jarra para o copo sem ajuda.</t>
  </si>
  <si>
    <t>49 Sobe em uma cadeira de adulto, vira-se e senta.</t>
  </si>
  <si>
    <t>48 Tenta ajudar os pais a executarem tarefas realizando parte da mesma</t>
  </si>
  <si>
    <t>48 Controla o volume da voz 90% das vezes.</t>
  </si>
  <si>
    <t>46 Descreve 2 eventos ou personagens de uma estória familiar ou programa de televisão.</t>
  </si>
  <si>
    <t>48 Desprende roupas presas com o feixe de pressão.</t>
  </si>
  <si>
    <t>50 Coloca 4 aros em uma pequena estaca.</t>
  </si>
  <si>
    <t>49 Brinca de usar roupas de adultos.</t>
  </si>
  <si>
    <t>49 Usa "este / esta" e "aquele / aquela" na fala.</t>
  </si>
  <si>
    <t>47 Repete brincadeiras (rimas ou canções) que envolvam movimentos coordenados.</t>
  </si>
  <si>
    <t>49 Lava seus braços e pernas ao lhe darem banho.</t>
  </si>
  <si>
    <t>51 Retira pinos de 2,5 cm de uma prancha ou tabuleiro.</t>
  </si>
  <si>
    <t>50 Faz uma escolha quando indagado.</t>
  </si>
  <si>
    <t>50 Emprega "é" e "está" em frases simples.</t>
  </si>
  <si>
    <t>48 Emparelha 3 ou mais objetos.</t>
  </si>
  <si>
    <t>50 Coloca meias.</t>
  </si>
  <si>
    <t>52 Encaixa pinos de 2,5 cm em uma prancha de encaixe.</t>
  </si>
  <si>
    <t>51 Demonstra entender sentimentos, expressando-os.</t>
  </si>
  <si>
    <t>51 Diz "eu", "mim", "meu" ao invés do próprio nome.</t>
  </si>
  <si>
    <t>49 Aponta para objetos compridos ou curtos.</t>
  </si>
  <si>
    <t>51 Veste casaco, malha ou camisa.</t>
  </si>
  <si>
    <t>53 Constrói uma torre de 3 blocos.</t>
  </si>
  <si>
    <t>52 Aponta objetos e diz que eles não são outras coisas</t>
  </si>
  <si>
    <t>50 Associa objetos correspondentes. Ex: meia/sapato.</t>
  </si>
  <si>
    <t>52 Identifica a parte dianteira da roupa.</t>
  </si>
  <si>
    <t>54 Faz traços no papel com lápis ou lápis de cera.</t>
  </si>
  <si>
    <t>Socialização – 3 a 4 anos</t>
  </si>
  <si>
    <t>53 Responde à pergunta "Quem?" dando um nome</t>
  </si>
  <si>
    <t>51 Conta até 3 imitando um adulto.</t>
  </si>
  <si>
    <t>55 Anda sozinho.</t>
  </si>
  <si>
    <t>52 Canta e dança ao ouvir músicas.</t>
  </si>
  <si>
    <t>54 Emprega as formas possessivas dos substantivos.</t>
  </si>
  <si>
    <t>52 Agrupa objetos em categorias.</t>
  </si>
  <si>
    <t>Auto cuidados – 3 a 4 anos</t>
  </si>
  <si>
    <t>56 Desce escadas sentado, colocando primeiro os pés.</t>
  </si>
  <si>
    <t>53 Segue regras de um jogo imitando ações de outras crianças.</t>
  </si>
  <si>
    <t>55 Usa artigos ao falar.</t>
  </si>
  <si>
    <t>53 Traça um (V) em imitação.</t>
  </si>
  <si>
    <t>53 Alimenta-se sozinho por toda a refeição.</t>
  </si>
  <si>
    <t>57 Senta-se em uma cadeirinha.</t>
  </si>
  <si>
    <t>54 Cumprimenta pessoas familiares sem ser lembrado.</t>
  </si>
  <si>
    <t>56 Usa substantivos que indicam grupo ou categoria.</t>
  </si>
  <si>
    <t>54 Traça uma linha diagonal dado o exemplo.</t>
  </si>
  <si>
    <t>54 Veste-se só, precisando de ajuda apenas quanto há malhas ou camisetas com golas fechadas ou botões e fechos.</t>
  </si>
  <si>
    <t>58 Agacha-se e volta a ficar em pé.</t>
  </si>
  <si>
    <t>55 Seguem regras em jogos de grupos dirigidos por adultos.</t>
  </si>
  <si>
    <t>57 Usa os verbos "ser", "estar" e "ter" no presente com poucos erros.</t>
  </si>
  <si>
    <t>55 Conta até 10 objetos, imitando um adulto.</t>
  </si>
  <si>
    <t>55 Enxuga o nariz quando lembrado.</t>
  </si>
  <si>
    <t>59 Empurra e puxa brinquedos ao andar.</t>
  </si>
  <si>
    <t>56 Pede permissão para brincar com um brinquedo que está sendo usado por outra criança</t>
  </si>
  <si>
    <t>58 Diz se os objetos estão abertos ou fechados.</t>
  </si>
  <si>
    <t>56 Constrói uma ponte com 3 blocos por imitação.</t>
  </si>
  <si>
    <t>56 Acorda seco 2 manhãs por semana</t>
  </si>
  <si>
    <t>60 Usa cadeira ou cavalo de balanço.</t>
  </si>
  <si>
    <t>57 Diz "Por favor" e "Obrigado" sem ser lembrado ½ das vezes.</t>
  </si>
  <si>
    <t>57 Emparelha uma sequência ou padrão (tamanho, cor) de blocos ou contas.</t>
  </si>
  <si>
    <t>57 Se menino, urina no sanitário, em pé</t>
  </si>
  <si>
    <t>61 Sobe escadas com ajuda.</t>
  </si>
  <si>
    <t>58 Atende ao telefone, chamando um adulto e falando com pessoas familiares.</t>
  </si>
  <si>
    <t>Linguagem – 3 a 4 anos</t>
  </si>
  <si>
    <t>58 Copia uma série de (V) interligados.</t>
  </si>
  <si>
    <t>58 Veste-se e despe-se sozinho, exceto quanto à botões e fechos em 75% das vezes.</t>
  </si>
  <si>
    <t>62 Dobra o corpo sem cair para apanhar objetos no chão.</t>
  </si>
  <si>
    <t>59 Espera a sua vez.</t>
  </si>
  <si>
    <t>59 Expressa diminutivos e aumentativos quando fala.</t>
  </si>
  <si>
    <t>59 Acrescenta perna ou braço em um desenho incompleto da figura humana.</t>
  </si>
  <si>
    <t>59 Fecha a roupa com fechos de pressão ou de gancho.</t>
  </si>
  <si>
    <t>63 Imita um movimento circular.</t>
  </si>
  <si>
    <t>60 Segue regras em jogos dirigidos por uma criança mais velha.</t>
  </si>
  <si>
    <t>60 Presta atenção por 5 minutos a uma estória lida</t>
  </si>
  <si>
    <t>60 Completa um quebra-cabeças de 6 peças.</t>
  </si>
  <si>
    <t>60 Assoa o nariz quando lembrado.</t>
  </si>
  <si>
    <t>61 Obedece às ordens de um adulto 75% das vezes. (3 vezes a cada 4 tentativas)</t>
  </si>
  <si>
    <t>61 Obedece à sequência de 2 ordens não relacionadas.</t>
  </si>
  <si>
    <t>61 Indica se os objetos são iguais ou diferentes.</t>
  </si>
  <si>
    <t>61 Evita perigos corriqueiros, por ex: caco de vidro.</t>
  </si>
  <si>
    <t>Desenvolvimento Motor – 2 a 3 anos</t>
  </si>
  <si>
    <t>62 Permanece em seu próprio quintal ou jardim</t>
  </si>
  <si>
    <t>62 Diz seu nome completo quando solicitado.</t>
  </si>
  <si>
    <t>62 Desenha um quadrado imitando um adulto.</t>
  </si>
  <si>
    <t>62 Pendura roupa no cabide e põe no armário quando pedem.</t>
  </si>
  <si>
    <t>64 Enfia 4 contas grandes em um cordão em 2 minutos.</t>
  </si>
  <si>
    <t>63 Brinca perto de outras crianças conversando com elas enquanto trabalha em um projeto próprio (30 min.).</t>
  </si>
  <si>
    <t>63 Responde perguntas simples envolvendo "Como".</t>
  </si>
  <si>
    <t>63 Nomeia 3 cores sendo requisitado.</t>
  </si>
  <si>
    <t>63 Escova os dentes quando recebe instrução.</t>
  </si>
  <si>
    <t>65 Vira trincos ou maçanetas em portas.</t>
  </si>
  <si>
    <t>64 Emprega verbos regulares, no passado.</t>
  </si>
  <si>
    <t>64 Nomeia 3 formas geométricas (quadrado, triângulo e círculo).</t>
  </si>
  <si>
    <t>64 Coloca luvas.</t>
  </si>
  <si>
    <t>66 Salta no mesmo local com ambos os pés.</t>
  </si>
  <si>
    <t>Socialização – 4 a 5 anos</t>
  </si>
  <si>
    <t>65 Relata experiências imediatas.</t>
  </si>
  <si>
    <t>65 Desabotoa botões grandes</t>
  </si>
  <si>
    <t>67 Anda de costas.</t>
  </si>
  <si>
    <t>64 Pede ajuda quando está tendo dificuldades.</t>
  </si>
  <si>
    <t>66 Diz como são usados objetos comuns.</t>
  </si>
  <si>
    <t>Cognição – 4 a 5 anos</t>
  </si>
  <si>
    <t>66 Abotoa botões grandes.</t>
  </si>
  <si>
    <t>68 Desce escadas sem ajuda.</t>
  </si>
  <si>
    <t>65 Contribui para a conversa de adultos.</t>
  </si>
  <si>
    <t>67 Expressa ações futuras empregando os verbos "ir", "ter" e "querer".</t>
  </si>
  <si>
    <t>65 Apanha de 1 a 5 objetos quando solicitado.</t>
  </si>
  <si>
    <t>67 Calça botas.</t>
  </si>
  <si>
    <t>69 Atira uma bola a um adulto à 1 ½ de distância.</t>
  </si>
  <si>
    <t>66 Repete rimas, canções ou dança para os outros.</t>
  </si>
  <si>
    <t>68 Utiliza adequadamente masculino e feminino na fala.</t>
  </si>
  <si>
    <t>66 Nomeia 5 texturas diferentes.</t>
  </si>
  <si>
    <t>70 Constrói uma torre de 5 a 6 blocos.</t>
  </si>
  <si>
    <t>67 Faz uma tarefa sozinha por 20 a 30 minutos.</t>
  </si>
  <si>
    <t>69 Usa formas imperativas de verbos ao pedir favores.</t>
  </si>
  <si>
    <t>67 Copia um triângulo ao ser requisitado.</t>
  </si>
  <si>
    <t>Auto cuidados – 4 a 5 anos</t>
  </si>
  <si>
    <t>71 Vira páginas de um livro, uma por vez.</t>
  </si>
  <si>
    <t>68 Pede desculpas sem ser lembrado 75% das vezes.</t>
  </si>
  <si>
    <t>70 Conta 2 fatos na ordem de ocorrência.</t>
  </si>
  <si>
    <t>68 Recorda-se de 4 objetos que haviam sido vistos em uma figura.</t>
  </si>
  <si>
    <t>68 Limpa o que derramou por conta própria.</t>
  </si>
  <si>
    <t>72 Desembrulha um pequeno objeto.</t>
  </si>
  <si>
    <t>69 Espera sua vez em brincadeiras que envolvam de 8 a 9 crianças.</t>
  </si>
  <si>
    <t>69 Diz o momento do dia associado a cada atividade.</t>
  </si>
  <si>
    <t>69 Evita veneno e todas as substâncias prejudiciais.</t>
  </si>
  <si>
    <t>73 Dobra um papel ao meio, imitando um adulto.</t>
  </si>
  <si>
    <t>70 Brinca com 2 a 3 crianças por 20 min. em uma atividade que envolva cooperação.</t>
  </si>
  <si>
    <t>Linguagem – 4 a 5 anos</t>
  </si>
  <si>
    <t>70 Repete rimas familiares.</t>
  </si>
  <si>
    <t>70 Desabotoa sua roupa.</t>
  </si>
  <si>
    <t>74 Desmancha e reconstrói brinquedos de encaixe por pressão.</t>
  </si>
  <si>
    <t>71 Quando em público, apresenta um comportamento socialmente aceitável.</t>
  </si>
  <si>
    <t>71 Obedece a uma sequência envolvendo 3 ordens.</t>
  </si>
  <si>
    <t>71 Diz se um objeto é mais pesado ou mais leve (objetos com diferença de 0,5 quilo).</t>
  </si>
  <si>
    <t>71 Abotoa sua roupa.</t>
  </si>
  <si>
    <t>75 Desenrosca brinquedos que se encaixam por roscas.</t>
  </si>
  <si>
    <t>72 Pede permissão para usar objetos dos outros em 75% das vezes.</t>
  </si>
  <si>
    <t>72 Demonstra compreensão de verbos reflexivos, usando-os ocasionalmente (ex. ele se machucou).</t>
  </si>
  <si>
    <t>72 Diz o que está faltando quando um objeto é retirado de um grupo de 3 objetos.</t>
  </si>
  <si>
    <t>72 Retira prato e talheres da mesa.</t>
  </si>
  <si>
    <t>76 Chuta uma bola grande que está imóvel.</t>
  </si>
  <si>
    <t>73 Consegue identificar objetos / figuras que formem par, sob solicitação.</t>
  </si>
  <si>
    <t>73 Nomeia 8 cores.</t>
  </si>
  <si>
    <t>73 Encaixa fecho em sua terminação.</t>
  </si>
  <si>
    <t>77 Faz bolas de argila, barro ou massinha.</t>
  </si>
  <si>
    <t>Socialização – 5 a 6 anos</t>
  </si>
  <si>
    <t>74 Emprega o futuro ao falar.</t>
  </si>
  <si>
    <t>74 Identifica o valor de 3 moedas.</t>
  </si>
  <si>
    <t>74 Lava as mãos e o rosto.</t>
  </si>
  <si>
    <t>78 Segura o lápis entre o polegar e o indicador, apoiando-o sobre o dedo médio.</t>
  </si>
  <si>
    <t>73 Manifesta seus sentimentos</t>
  </si>
  <si>
    <t>75 Usa orações compostas por coordenação.</t>
  </si>
  <si>
    <t>75 Emparelha símbolos (letras e números).</t>
  </si>
  <si>
    <t>75 Usa talher apropriado para alimentar-se.</t>
  </si>
  <si>
    <t>79 Dá cambalhota para frente com ajuda.</t>
  </si>
  <si>
    <t>74 Brinca com 4 a 5 crianças em atividade de cooperação por 20 minutos, sem supervisão.</t>
  </si>
  <si>
    <t>76 Consegue identificar a parte de cima e de baixo de objetos, quando solicitado.</t>
  </si>
  <si>
    <t>76 Diz a cor de objetos nomeados.</t>
  </si>
  <si>
    <t>76 Acorda de noite para ir ao banheiro, ou acorda seco.</t>
  </si>
  <si>
    <t>80 Dá marteladas para encaixar 5 pinos em seus orifícios.</t>
  </si>
  <si>
    <t>75 Explica aos outros as regras do jogo ou atividade.</t>
  </si>
  <si>
    <t>77 Emprega ocasionalmente o condicional ao falar (poderia, pudesse, iria, seria, faria).</t>
  </si>
  <si>
    <t>77 Relata 5 principais fatos de uma história contada 3x.</t>
  </si>
  <si>
    <t>77 Limpa e assua o nariz em 75% das vezes sem ser lembrado</t>
  </si>
  <si>
    <t>76 Imita papéis de adulto.</t>
  </si>
  <si>
    <t>78 Consegue identificar absurdos em figuras.</t>
  </si>
  <si>
    <t>78 Desenha figura humana (cabeça, tronco e 4 membros)</t>
  </si>
  <si>
    <t>78 Toma banho só, precisando de ajuda apenas para lavar as costas, pescoço e orelhas.</t>
  </si>
  <si>
    <t>Desenvolvimento Motor – 3 a 4 ano</t>
  </si>
  <si>
    <t>77 Colabora para a conversa durante as refeições.</t>
  </si>
  <si>
    <t>79 Emprega as seguintes palavras: irmã(o), avó, avô.</t>
  </si>
  <si>
    <t>79 Canta 5 estrofes de uma canção.</t>
  </si>
  <si>
    <t>79 Usa faca para espalhar manteiga no pão.</t>
  </si>
  <si>
    <t>81 Faz um quebra cabeça de 3 peças.</t>
  </si>
  <si>
    <t>78 Segue regras de jogo que envolva raciocínio verbal.</t>
  </si>
  <si>
    <t>80 Completa frases com antônimos.</t>
  </si>
  <si>
    <t>80 Constrói uma pirâmide de 10 blocos por imitação.</t>
  </si>
  <si>
    <t>80 Aperta e afrouxa cintos ou fivelas.</t>
  </si>
  <si>
    <t>82 Corta algo em pedaços com tesoura.</t>
  </si>
  <si>
    <t>79 Conforta colegas quando estes estão tristes.</t>
  </si>
  <si>
    <t>81 Relata uma estória conhecida sem ajuda de figuras.</t>
  </si>
  <si>
    <t>81 Nomeia objetos como sendo compridos ou curtos.</t>
  </si>
  <si>
    <t>81 Veste-se sozinho, mas não dá laços.</t>
  </si>
  <si>
    <t>83 Pula de uma altura de 20 cm</t>
  </si>
  <si>
    <t>80 Escolhe seus próprios amigos.</t>
  </si>
  <si>
    <t>82 Em uma figura, nomeia o objeto que não pertence a uma determinada categoria.</t>
  </si>
  <si>
    <t>82 Coloca objetos "atrás", "ao lado" ou "junto" a outros.</t>
  </si>
  <si>
    <t>82 Serve-se à mesa enquanto seguram a travessa de comida.</t>
  </si>
  <si>
    <t>84 Chuta uma bola grande quando enviada para si.</t>
  </si>
  <si>
    <t>81 Planeja e constrói, usando ferramentas simples.</t>
  </si>
  <si>
    <t>83 Diz se duas palavras rimam ou não.</t>
  </si>
  <si>
    <t>83 Faz conjuntos iguais de 10 objetos, segundo modelo.</t>
  </si>
  <si>
    <t>83 Ajuda a pôr a mesa corretamente quando recebe instruções.</t>
  </si>
  <si>
    <t>85 Anda na ponta dos pés.</t>
  </si>
  <si>
    <t>82 Estabelece metas para si próprio e executa atividade para atingi-las.</t>
  </si>
  <si>
    <t>84 Usa frases complexas, compostas por subordinação.</t>
  </si>
  <si>
    <t>84 Nomeia ou aponta para a parte ausente da figura</t>
  </si>
  <si>
    <t>84 Escova os dentes.</t>
  </si>
  <si>
    <t>86 Corre 10 passos coordenando e alternando o movimento dos braços e pés.</t>
  </si>
  <si>
    <t>83 Dramatiza trechos de histórias, desempenhando um papel ou utilizando fantoches.</t>
  </si>
  <si>
    <t>85 Diz se um som é forte ou fraco.</t>
  </si>
  <si>
    <t>85 Conta de 1 a 20.</t>
  </si>
  <si>
    <t>85 Vai ao banheiro a tempo, retira a roupa, usa papel higiênico, dá descarga e veste-se sem ajuda.</t>
  </si>
  <si>
    <t>87 Pedala com triciclo a distância de 1 metro e ½.</t>
  </si>
  <si>
    <t>86 Identifica o objeto que está colocado no meio, em primeiro e em último lugar.</t>
  </si>
  <si>
    <t>86 Penteia ou escova cabelos.</t>
  </si>
  <si>
    <t>88 Balança em um balanço quando este está em movimento.</t>
  </si>
  <si>
    <t>Linguagem – 5 a 6 anos</t>
  </si>
  <si>
    <t>87 Pendura roupas em cabides.</t>
  </si>
  <si>
    <t>89 Sobe em um escorregador de 1,20m a 1,80m e escorrega.</t>
  </si>
  <si>
    <t>86 Consegue indicar alguns, muitos e vários elementos.</t>
  </si>
  <si>
    <t>Cognição – 5 a 6 anos</t>
  </si>
  <si>
    <t>88 Anda pela vizinhança sem constante supervisão.</t>
  </si>
  <si>
    <t>90 Dá cambalhotas para frente.</t>
  </si>
  <si>
    <t>87 Diz seu endereço.</t>
  </si>
  <si>
    <t>87 Conta até 20 objetos e responde adequadamente à pergunta: "Quantos ... você contou?"</t>
  </si>
  <si>
    <t>89 Enfia cordões em sapatos.</t>
  </si>
  <si>
    <t>91 Sobe escadas alternando os pés.</t>
  </si>
  <si>
    <t>88 Diz o número de seu telefone.</t>
  </si>
  <si>
    <t>88 Nomeia 10 numerais.</t>
  </si>
  <si>
    <t>90 Amarra ou dá laços nos cordões dos sapatos.</t>
  </si>
  <si>
    <t>92 Marcha (anda de forma ritmada).</t>
  </si>
  <si>
    <t>89 Aponta para o conjunto que tem mais, menos ou poucos elementos.</t>
  </si>
  <si>
    <t>89 Identifica qual a sua esquerda e qual a sua direita</t>
  </si>
  <si>
    <t>93 Apara a bola com ambas as mãos.</t>
  </si>
  <si>
    <t>90 Conta piadas simples.</t>
  </si>
  <si>
    <t>90 Diz as vogais em ordem.</t>
  </si>
  <si>
    <t>Auto cuidados – 5 a 6 anos</t>
  </si>
  <si>
    <t>94 Desenha figuras seguindo contornos ou pontilhados.</t>
  </si>
  <si>
    <t>91 Relata experiências diárias.</t>
  </si>
  <si>
    <t>91 Escreve seu nome com letras de forma</t>
  </si>
  <si>
    <t>91 É responsável por uma tarefa semanal e a executa ao ser lembrado</t>
  </si>
  <si>
    <t>95 Recorta ao longo de uma linha reta 20 cm, afastando-se pouco da linha.</t>
  </si>
  <si>
    <t>92 Descreve um local ou movimento: através ou entre, longe de, de / desde..., para, por cima de, até.</t>
  </si>
  <si>
    <t>92 Nomeia 5 letras do alfabeto.</t>
  </si>
  <si>
    <t>92 Seleciona roupas apropriadas ao clima e ocasião.</t>
  </si>
  <si>
    <t>93 Responde à pergunta "Porque" com uma explicação.</t>
  </si>
  <si>
    <t>93 Ordena objetos em sequência de comprimento e largura.</t>
  </si>
  <si>
    <t>93 Pára no passeio, olha para ambos os lados, e atravessa a rua sem precisar ser lembrado.</t>
  </si>
  <si>
    <t>Desenvolvimento Motor – 4 a 5 anos</t>
  </si>
  <si>
    <t>94 Ordena e conta uma estória de 2 a 5 episódios na sequência correta.</t>
  </si>
  <si>
    <t>94 Nomeia as letras maiúsculas do alfabeto.</t>
  </si>
  <si>
    <t>94 Serve-se à mesa e passa aos demais a panela de comida.</t>
  </si>
  <si>
    <t>96 Fica em um só pé sem apoio por 4 a 8 segundos.</t>
  </si>
  <si>
    <t>95 Define palavras.</t>
  </si>
  <si>
    <t>95 Coloca numerais de 1 a 10 na sequência correta.</t>
  </si>
  <si>
    <t>95 Prepara sua própria caneca de café com leite.</t>
  </si>
  <si>
    <t>97 Muda de direção ao correr.</t>
  </si>
  <si>
    <t>96 Responde adequadamente a pergunta "Qual o contrário de ...".</t>
  </si>
  <si>
    <t>96 Identifica a posição de objetos em 1º, 2º e 3º lugar.</t>
  </si>
  <si>
    <t>96 É responsável por uma tarefa diária em casa.</t>
  </si>
  <si>
    <t>98 Anda sobre uma viga ou tábua, mantendo o equilíbrio.</t>
  </si>
  <si>
    <t>97 Responde a pergunta "O que acontece se...".</t>
  </si>
  <si>
    <t>97 Nomeia as letras minúsculas do alfabeto.</t>
  </si>
  <si>
    <t>97 Ajusta a temperatura da água para o banho.</t>
  </si>
  <si>
    <t>99 Pula para frente 10 vezes sem cair.</t>
  </si>
  <si>
    <t>98 Usa "ontem" e “amanhã’, corretamente”.</t>
  </si>
  <si>
    <t>98 Emparelha letras maiúsculas com minúsculas.</t>
  </si>
  <si>
    <t>98 Prepara seu próprio lanche.</t>
  </si>
  <si>
    <t>100 Salta sobre uma corda suspensa a 5 cm do solo.</t>
  </si>
  <si>
    <t>99 Pergunta o significado de perguntas novas ou conhecidas.</t>
  </si>
  <si>
    <t>99 Aponta para numerais de 1 a 25.</t>
  </si>
  <si>
    <t>99 Anda sozinho até a distância de 2 quadras de casa.</t>
  </si>
  <si>
    <t>101 Pula de costas 6 vezes.</t>
  </si>
  <si>
    <t>100 Copia um losango.</t>
  </si>
  <si>
    <t>100 Corta alimentos tenros com faca.</t>
  </si>
  <si>
    <t>102 Rebate e apanha uma bola grande.</t>
  </si>
  <si>
    <t>101 Completa um labirinto simples.</t>
  </si>
  <si>
    <t>101 Encontra o banheiro em local público, corretamente.</t>
  </si>
  <si>
    <t>103 Une 2 a 3 pedaços de massa de modelar.</t>
  </si>
  <si>
    <t>102 Diz os dias da semana na ordem.</t>
  </si>
  <si>
    <t>102 Abre a embalagem de leite.</t>
  </si>
  <si>
    <t>104 Recorta em torno de linhas curvas.</t>
  </si>
  <si>
    <t>103 Soma e subtrai combinações de até 3 elementos.</t>
  </si>
  <si>
    <t>103 Apanha uma bandeja com comida, levando-a e pondo sobre a mesa.</t>
  </si>
  <si>
    <t>105 Encaixa objetos de rosca.</t>
  </si>
  <si>
    <t>104 Diz o mês e o dia de seu aniversário.</t>
  </si>
  <si>
    <t>104 Amarra os cordões em casacos com capuz.</t>
  </si>
  <si>
    <t>106 Desce escadas alternando os pés.</t>
  </si>
  <si>
    <t>105 Lê 10 palavras impressas.</t>
  </si>
  <si>
    <t>105 Aperta o cinto de segurança do automóvel.</t>
  </si>
  <si>
    <t>107 Pedala um triciclo fazendo curvas.</t>
  </si>
  <si>
    <t>106 Prediz o que vai ocorrer.</t>
  </si>
  <si>
    <t>108 Salta em um só pé 5 vezes consecutivas.</t>
  </si>
  <si>
    <t>107 Aponta para objetos inteiros e partidos ao meio.</t>
  </si>
  <si>
    <t>109 Recorta um círculo em 5 cm.</t>
  </si>
  <si>
    <t>108 Conta de memória de 1 a 100 (pedir que pare no 40, e continue no 80, caso não erre até o 40).</t>
  </si>
  <si>
    <t>110 Desenha figuras simples facilmente identificáveis (por ex: casa).</t>
  </si>
  <si>
    <t>111 Recorta e cola formas simples.</t>
  </si>
  <si>
    <t>Desenvolvimento Motor – 5 a 6 anos</t>
  </si>
  <si>
    <t>112 Escreve letras de imprensa maiúsculas, isoladas e grandes em qualquer lugar do papel.</t>
  </si>
  <si>
    <t>113 Anda sobre uma tábua para trás, para frente e para os lados, mantendo o equilíbrio.</t>
  </si>
  <si>
    <t>114 Caminha saltitando.</t>
  </si>
  <si>
    <t>115 Balança em um balanço iniciando e mantendo o movimento.</t>
  </si>
  <si>
    <t>116 Estica os dedos tocando o polegar em cada um deles.</t>
  </si>
  <si>
    <t>117 Copia letras maiúsculas.</t>
  </si>
  <si>
    <t>118 Sobe em escadas de mão ou de escorregador de 3 m.</t>
  </si>
  <si>
    <t>119 Bate em um prego com martelo.</t>
  </si>
  <si>
    <t>120 Rebate a bola à medida que anda com direção.</t>
  </si>
  <si>
    <t>121 Consegue colorir sem sair da margem em 95% das vezes.</t>
  </si>
  <si>
    <t>122 Recorta figuras sem sair mais que 6 mm da margem.</t>
  </si>
  <si>
    <t>123 Usa apontador de lápis.</t>
  </si>
  <si>
    <t>124 Copia desenhos complexos (escola, navio).</t>
  </si>
  <si>
    <t>125 Rasga figuras simples de um papel.</t>
  </si>
  <si>
    <t>126 Dobra um papel quadrado 2x em diagonal por imitação.</t>
  </si>
  <si>
    <t>127 Apanha uma bola leve com uma só mão.</t>
  </si>
  <si>
    <t>128 Pula corda sozinho.</t>
  </si>
  <si>
    <t>129 Golpeia uma bola com um bastão ou pedaço de pau.</t>
  </si>
  <si>
    <t>130 Apanha um objeto no chão enquanto corre.</t>
  </si>
  <si>
    <t>131 Patina uma distância de 3 m, ou usa skate.</t>
  </si>
  <si>
    <t>132 Anda de bicicleta.</t>
  </si>
  <si>
    <t>133 Escorrega descendo um monte de areia ou terra.</t>
  </si>
  <si>
    <t>134 Anda ou brinca em piscina tendo água até a cintura.</t>
  </si>
  <si>
    <t>135 Conduz um patinete dando impulso com um só pé.</t>
  </si>
  <si>
    <t>136 Salta e gira em um só pé.</t>
  </si>
  <si>
    <t>137 Escreve seu nome com letras de forma em caderno pautado.</t>
  </si>
  <si>
    <t>138 Salta de uma altura de 30 cm. e cai na ponta dos pés.</t>
  </si>
  <si>
    <t>139 Pára em um só pé sem apoio com olhos fechados por 10 segundos.</t>
  </si>
  <si>
    <t>140 Dependura-se por 10 segundos em uma barra horizontal.</t>
  </si>
  <si>
    <t>Algumas dicas sobre o Portage</t>
  </si>
  <si>
    <t> Devem ser selecionados do Portage aqueles objetivos que sejam prioritários para o aluno, ou seja, os não alcançados.</t>
  </si>
  <si>
    <t>Os objetivos em cuja avaliação o aluno obteve A.V. (às vezes), devem ser trabalhados para reforço até que sejam alcançados.</t>
  </si>
  <si>
    <t>Os objetivos já alcançados deverão ser sempre reforçados.</t>
  </si>
  <si>
    <t>Selecionar dois objetivos de cada área, no mínimo, para desenvolver com o aluno. A medida que cada objetivo for alcançado, o mesmo deverá ser substituído por outro da mesma área, na mesma folha.</t>
  </si>
  <si>
    <t> O professor não deve restringir-se apenas aos objetivos do Portage. Deve haver dinamismo para trabalhar as dificuldades que forem surgindo.</t>
  </si>
  <si>
    <t>Sempre considere a individualidade de cada aluno. Ninguém é igual a ninguém.</t>
  </si>
  <si>
    <t>Sempre considere utilizar o interesse do aluno para tornar as atividades mais relevantes para ele. Seja criativo.</t>
  </si>
  <si>
    <t>e</t>
  </si>
  <si>
    <t>IDADE DE DESENVOLVIMENTO DA CRIANÇA</t>
  </si>
  <si>
    <t>IDADE DA CRIANÇA POR ÁREA</t>
  </si>
  <si>
    <t>* As tabelas e gráficos abaixo são automáticos, não sendo necessário o preenchimento</t>
  </si>
  <si>
    <t>% Acertos por faixa etária</t>
  </si>
  <si>
    <t>ÁREA DE DESENVOLVIMENTO</t>
  </si>
  <si>
    <t>0 - 1 ano</t>
  </si>
  <si>
    <t>1 - 2 anos</t>
  </si>
  <si>
    <t>2 - 3 anos</t>
  </si>
  <si>
    <t>3 - 4 anos</t>
  </si>
  <si>
    <t>4 - 5 anos</t>
  </si>
  <si>
    <t>5 - 6 anos</t>
  </si>
  <si>
    <t>% Acertos Total</t>
  </si>
  <si>
    <t>Pontuação
(Acertos)</t>
  </si>
  <si>
    <t>Pontuação Esperada</t>
  </si>
  <si>
    <t>Idade</t>
  </si>
  <si>
    <t>% Acertos</t>
  </si>
  <si>
    <t>TOTAL</t>
  </si>
  <si>
    <t>IDADE DA CRIANÇA - SOCIALIZAÇÃO</t>
  </si>
  <si>
    <t>IDADE DA CRIANÇA - LINGUAGEM</t>
  </si>
  <si>
    <t>IDADE DA CRIANÇA - COGNIÇÃO</t>
  </si>
  <si>
    <t>IDADE DA CRIANÇA - AUTOCUIDADOS</t>
  </si>
  <si>
    <t>IDADE DA CRIANÇA - DESENVOLVIMENTO MOTOR</t>
  </si>
  <si>
    <t>Nome:</t>
  </si>
  <si>
    <t>Idade:</t>
  </si>
  <si>
    <t>Avaliador:</t>
  </si>
  <si>
    <t>Data da Avaliação:</t>
  </si>
  <si>
    <t xml:space="preserve">* A tabela abaixo é automática, não sendo necessário o preenchimento. Filtre primeiro Objetivos Prioritários, retire o filtro, e faça novo filtro em Demais Objetivos. </t>
  </si>
  <si>
    <t xml:space="preserve">PLANO DE ENSINO INDIVIDUALIZADO </t>
  </si>
  <si>
    <t>OBJETIVOS PRIORITÁRIOS</t>
  </si>
  <si>
    <t>DEMAIS OBJETIVOS</t>
  </si>
  <si>
    <t>JY Silva</t>
  </si>
  <si>
    <t>Idade: (insira apenas o número)</t>
  </si>
  <si>
    <t>Maria Luiza</t>
  </si>
  <si>
    <t>* Nas tabelas abaixo, insira apenas SIM, NÃO e ÀS VEZES QUE CONSTAM NA LISTA DE OPÇÕES DE CADA CÉLULA. Não digite texto algum, apenas selecione a opção da lista. Os totais e pontos são automáticos.</t>
  </si>
  <si>
    <t>Às vezes</t>
  </si>
  <si>
    <t>NA</t>
  </si>
  <si>
    <t>* As tabelas e gráficos abaixo são automáticos, não sendo necessário o preenchimento. Aproveite-os em seu relatório.</t>
  </si>
  <si>
    <t>AVALIAÇÃO 1</t>
  </si>
  <si>
    <t>AVALIAÇÃO 2</t>
  </si>
  <si>
    <t>AVALIAÇÃO 3</t>
  </si>
  <si>
    <t>% ACERTOS</t>
  </si>
  <si>
    <t>AV 1</t>
  </si>
  <si>
    <t>AV 2</t>
  </si>
  <si>
    <t>AV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</si>
</sst>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6.0"/>
      <color theme="0"/>
      <name val="Calibri"/>
    </font>
    <font/>
    <font>
      <b/>
      <sz val="11.0"/>
      <color theme="1"/>
      <name val="Calibri"/>
    </font>
    <font>
      <sz val="11.0"/>
      <color theme="4"/>
      <name val="Calibri"/>
    </font>
    <font>
      <b/>
      <sz val="9.0"/>
      <color theme="4"/>
      <name val="Calibri"/>
    </font>
    <font>
      <b/>
      <sz val="16.0"/>
      <color theme="1"/>
      <name val="Calibri"/>
    </font>
    <font>
      <b/>
      <sz val="12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496B0"/>
        <bgColor rgb="FF8496B0"/>
      </patternFill>
    </fill>
    <fill>
      <patternFill patternType="solid">
        <fgColor rgb="FFD6DCE4"/>
        <bgColor rgb="FFD6DCE4"/>
      </patternFill>
    </fill>
    <fill>
      <patternFill patternType="solid">
        <fgColor rgb="FFADB9CA"/>
        <bgColor rgb="FFADB9CA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3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</border>
    <border>
      <left style="thin">
        <color rgb="FF0070C0"/>
      </left>
      <top style="thin">
        <color rgb="FF0070C0"/>
      </top>
      <bottom style="thin">
        <color rgb="FF0070C0"/>
      </bottom>
    </border>
    <border>
      <top style="thin">
        <color rgb="FF0070C0"/>
      </top>
      <bottom style="thin">
        <color rgb="FF0070C0"/>
      </bottom>
    </border>
    <border>
      <right style="thin">
        <color rgb="FF0070C0"/>
      </right>
      <top style="thin">
        <color rgb="FF0070C0"/>
      </top>
      <bottom style="thin">
        <color rgb="FF0070C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theme="8"/>
      </left>
      <top style="thin">
        <color theme="8"/>
      </top>
      <bottom style="thin">
        <color theme="8"/>
      </bottom>
    </border>
    <border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  <bottom/>
    </border>
    <border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/>
      <bottom style="thin">
        <color theme="8"/>
      </bottom>
    </border>
    <border>
      <left style="thin">
        <color theme="8"/>
      </left>
      <right/>
      <top style="thin">
        <color theme="8"/>
      </top>
      <bottom style="thin">
        <color theme="8"/>
      </bottom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CC2E5"/>
      </left>
      <right style="thin">
        <color rgb="FF9CC2E5"/>
      </right>
      <bottom style="thin">
        <color rgb="FF9CC2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theme="8"/>
      </right>
      <top style="medium">
        <color rgb="FF000000"/>
      </top>
      <bottom/>
    </border>
    <border>
      <left style="thin">
        <color theme="8"/>
      </left>
      <top style="medium">
        <color rgb="FF000000"/>
      </top>
      <bottom style="thin">
        <color theme="8"/>
      </bottom>
    </border>
    <border>
      <top style="medium">
        <color rgb="FF000000"/>
      </top>
      <bottom style="thin">
        <color theme="8"/>
      </bottom>
    </border>
    <border>
      <right style="thin">
        <color theme="8"/>
      </right>
      <top style="medium">
        <color rgb="FF000000"/>
      </top>
      <bottom style="thin">
        <color theme="8"/>
      </bottom>
    </border>
    <border>
      <left style="thin">
        <color theme="8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theme="8"/>
      </right>
      <top/>
      <bottom style="thin">
        <color theme="8"/>
      </bottom>
    </border>
    <border>
      <left style="thin">
        <color theme="8"/>
      </left>
      <right style="medium">
        <color rgb="FF000000"/>
      </right>
      <top/>
      <bottom style="thin">
        <color theme="8"/>
      </bottom>
    </border>
    <border>
      <left style="medium">
        <color rgb="FF000000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medium">
        <color rgb="FF000000"/>
      </right>
      <top style="thin">
        <color theme="8"/>
      </top>
      <bottom style="thin">
        <color theme="8"/>
      </bottom>
    </border>
    <border>
      <left style="medium">
        <color rgb="FF000000"/>
      </left>
      <right style="thin">
        <color theme="8"/>
      </right>
      <top style="thin">
        <color theme="8"/>
      </top>
      <bottom style="medium">
        <color rgb="FF000000"/>
      </bottom>
    </border>
    <border>
      <left style="thin">
        <color theme="8"/>
      </left>
      <right style="thin">
        <color theme="8"/>
      </right>
      <top style="thin">
        <color theme="8"/>
      </top>
      <bottom style="medium">
        <color rgb="FF000000"/>
      </bottom>
    </border>
    <border>
      <left style="thin">
        <color theme="8"/>
      </left>
      <right style="medium">
        <color rgb="FF000000"/>
      </right>
      <top style="thin">
        <color theme="8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theme="8"/>
      </bottom>
    </border>
    <border>
      <left style="medium">
        <color rgb="FF000000"/>
      </left>
      <right style="thin">
        <color theme="8"/>
      </right>
      <top/>
      <bottom style="medium">
        <color rgb="FF000000"/>
      </bottom>
    </border>
    <border>
      <left style="medium">
        <color rgb="FF000000"/>
      </left>
      <right style="thin">
        <color theme="8"/>
      </right>
      <top style="medium">
        <color rgb="FF000000"/>
      </top>
      <bottom style="thin">
        <color theme="8"/>
      </bottom>
    </border>
    <border>
      <left style="thin">
        <color theme="8"/>
      </left>
      <right style="thin">
        <color theme="8"/>
      </right>
      <top style="medium">
        <color rgb="FF000000"/>
      </top>
      <bottom style="thin">
        <color theme="8"/>
      </bottom>
    </border>
    <border>
      <left style="thin">
        <color theme="8"/>
      </left>
      <right style="medium">
        <color rgb="FF000000"/>
      </right>
      <top style="medium">
        <color rgb="FF000000"/>
      </top>
      <bottom style="thin">
        <color theme="8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1" fillId="2" fontId="3" numFmtId="0" xfId="0" applyAlignment="1" applyBorder="1" applyFill="1" applyFont="1">
      <alignment horizontal="left" shrinkToFit="0" vertical="center" wrapText="1"/>
    </xf>
    <xf borderId="2" fillId="0" fontId="4" numFmtId="0" xfId="0" applyBorder="1" applyFont="1"/>
    <xf borderId="3" fillId="0" fontId="4" numFmtId="0" xfId="0" applyBorder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readingOrder="0" shrinkToFit="0" vertical="center" wrapText="1"/>
    </xf>
    <xf borderId="4" fillId="0" fontId="1" numFmtId="14" xfId="0" applyAlignment="1" applyBorder="1" applyFont="1" applyNumberForma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5" fillId="3" fontId="5" numFmtId="0" xfId="0" applyAlignment="1" applyBorder="1" applyFill="1" applyFont="1">
      <alignment horizontal="center" shrinkToFit="0" vertical="center" wrapText="1"/>
    </xf>
    <xf borderId="6" fillId="0" fontId="4" numFmtId="0" xfId="0" applyBorder="1" applyFont="1"/>
    <xf borderId="7" fillId="0" fontId="4" numFmtId="0" xfId="0" applyBorder="1" applyFont="1"/>
    <xf borderId="4" fillId="4" fontId="5" numFmtId="0" xfId="0" applyAlignment="1" applyBorder="1" applyFill="1" applyFont="1">
      <alignment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shrinkToFit="0" vertical="center" wrapText="1"/>
    </xf>
    <xf borderId="5" fillId="4" fontId="5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4" fontId="5" numFmtId="0" xfId="0" applyAlignment="1" applyBorder="1" applyFont="1">
      <alignment shrinkToFit="0" vertical="center" wrapText="1"/>
    </xf>
    <xf borderId="0" fillId="0" fontId="2" numFmtId="0" xfId="0" applyFont="1"/>
    <xf borderId="1" fillId="2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5" numFmtId="0" xfId="0" applyAlignment="1" applyBorder="1" applyFont="1">
      <alignment shrinkToFit="0" vertical="center" wrapText="1"/>
    </xf>
    <xf borderId="8" fillId="0" fontId="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wrapText="1"/>
    </xf>
    <xf borderId="9" fillId="3" fontId="5" numFmtId="0" xfId="0" applyAlignment="1" applyBorder="1" applyFont="1">
      <alignment horizontal="center" vertical="center"/>
    </xf>
    <xf borderId="10" fillId="0" fontId="4" numFmtId="0" xfId="0" applyBorder="1" applyFont="1"/>
    <xf borderId="11" fillId="0" fontId="1" numFmtId="0" xfId="0" applyBorder="1" applyFont="1"/>
    <xf borderId="11" fillId="0" fontId="1" numFmtId="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horizontal="left" shrinkToFit="0" wrapText="1"/>
    </xf>
    <xf borderId="12" fillId="5" fontId="5" numFmtId="49" xfId="0" applyAlignment="1" applyBorder="1" applyFill="1" applyFont="1" applyNumberFormat="1">
      <alignment horizontal="center" shrinkToFit="0" vertical="center" wrapText="1"/>
    </xf>
    <xf borderId="9" fillId="5" fontId="5" numFmtId="49" xfId="0" applyAlignment="1" applyBorder="1" applyFont="1" applyNumberFormat="1">
      <alignment horizontal="center" shrinkToFit="0" vertical="center" wrapText="1"/>
    </xf>
    <xf borderId="13" fillId="0" fontId="4" numFmtId="0" xfId="0" applyBorder="1" applyFont="1"/>
    <xf borderId="0" fillId="0" fontId="1" numFmtId="49" xfId="0" applyFont="1" applyNumberFormat="1"/>
    <xf borderId="14" fillId="5" fontId="5" numFmtId="49" xfId="0" applyAlignment="1" applyBorder="1" applyFont="1" applyNumberFormat="1">
      <alignment horizontal="center" shrinkToFit="0" vertical="center" wrapText="1"/>
    </xf>
    <xf borderId="11" fillId="5" fontId="5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/>
    </xf>
    <xf borderId="11" fillId="0" fontId="1" numFmtId="0" xfId="0" applyAlignment="1" applyBorder="1" applyFont="1">
      <alignment shrinkToFit="0" wrapText="1"/>
    </xf>
    <xf borderId="11" fillId="0" fontId="1" numFmtId="9" xfId="0" applyAlignment="1" applyBorder="1" applyFont="1" applyNumberFormat="1">
      <alignment horizontal="center" shrinkToFit="0" vertical="center" wrapText="1"/>
    </xf>
    <xf borderId="11" fillId="5" fontId="5" numFmtId="0" xfId="0" applyAlignment="1" applyBorder="1" applyFont="1">
      <alignment shrinkToFit="0" vertical="center" wrapText="1"/>
    </xf>
    <xf borderId="11" fillId="5" fontId="5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2" xfId="0" applyAlignment="1" applyBorder="1" applyFont="1" applyNumberFormat="1">
      <alignment horizontal="center" shrinkToFit="0" wrapText="1"/>
    </xf>
    <xf borderId="11" fillId="0" fontId="1" numFmtId="0" xfId="0" applyAlignment="1" applyBorder="1" applyFont="1">
      <alignment horizontal="center"/>
    </xf>
    <xf borderId="11" fillId="0" fontId="1" numFmtId="9" xfId="0" applyAlignment="1" applyBorder="1" applyFont="1" applyNumberFormat="1">
      <alignment horizontal="center"/>
    </xf>
    <xf borderId="11" fillId="5" fontId="5" numFmtId="0" xfId="0" applyAlignment="1" applyBorder="1" applyFont="1">
      <alignment shrinkToFit="0" wrapText="1"/>
    </xf>
    <xf borderId="15" fillId="5" fontId="5" numFmtId="2" xfId="0" applyAlignment="1" applyBorder="1" applyFont="1" applyNumberFormat="1">
      <alignment horizontal="center" shrinkToFit="0" wrapText="1"/>
    </xf>
    <xf borderId="12" fillId="5" fontId="5" numFmtId="9" xfId="0" applyAlignment="1" applyBorder="1" applyFont="1" applyNumberFormat="1">
      <alignment horizontal="center" shrinkToFit="0" vertical="center" wrapText="1"/>
    </xf>
    <xf borderId="11" fillId="5" fontId="5" numFmtId="0" xfId="0" applyAlignment="1" applyBorder="1" applyFont="1">
      <alignment horizontal="center" shrinkToFit="0" wrapText="1"/>
    </xf>
    <xf borderId="11" fillId="5" fontId="5" numFmtId="2" xfId="0" applyAlignment="1" applyBorder="1" applyFont="1" applyNumberFormat="1">
      <alignment horizontal="center" shrinkToFit="0" wrapText="1"/>
    </xf>
    <xf borderId="12" fillId="5" fontId="5" numFmtId="9" xfId="0" applyAlignment="1" applyBorder="1" applyFont="1" applyNumberFormat="1">
      <alignment horizontal="center" shrinkToFit="0" wrapText="1"/>
    </xf>
    <xf borderId="9" fillId="5" fontId="5" numFmtId="0" xfId="0" applyAlignment="1" applyBorder="1" applyFont="1">
      <alignment horizontal="left" shrinkToFit="0" vertical="center" wrapText="1"/>
    </xf>
    <xf borderId="15" fillId="5" fontId="5" numFmtId="2" xfId="0" applyAlignment="1" applyBorder="1" applyFont="1" applyNumberFormat="1">
      <alignment horizontal="center" shrinkToFit="0" vertical="center" wrapText="1"/>
    </xf>
    <xf borderId="14" fillId="5" fontId="5" numFmtId="2" xfId="0" applyAlignment="1" applyBorder="1" applyFont="1" applyNumberFormat="1">
      <alignment horizontal="center" shrinkToFit="0" vertical="center" wrapText="1"/>
    </xf>
    <xf borderId="11" fillId="5" fontId="5" numFmtId="2" xfId="0" applyAlignment="1" applyBorder="1" applyFont="1" applyNumberFormat="1">
      <alignment horizontal="center" shrinkToFit="0" vertical="center" wrapText="1"/>
    </xf>
    <xf borderId="14" fillId="5" fontId="5" numFmtId="2" xfId="0" applyAlignment="1" applyBorder="1" applyFont="1" applyNumberFormat="1">
      <alignment horizontal="center" shrinkToFit="0" wrapText="1"/>
    </xf>
    <xf borderId="11" fillId="0" fontId="1" numFmtId="0" xfId="0" applyAlignment="1" applyBorder="1" applyFont="1">
      <alignment horizontal="center" vertical="center"/>
    </xf>
    <xf borderId="11" fillId="0" fontId="1" numFmtId="9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left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left" shrinkToFit="0" vertical="center" wrapText="1"/>
    </xf>
    <xf borderId="17" fillId="0" fontId="4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8" fillId="4" fontId="9" numFmtId="0" xfId="0" applyAlignment="1" applyBorder="1" applyFont="1">
      <alignment horizontal="center" shrinkToFit="0" vertical="center" wrapText="1"/>
    </xf>
    <xf borderId="19" fillId="4" fontId="9" numFmtId="0" xfId="0" applyAlignment="1" applyBorder="1" applyFont="1">
      <alignment horizontal="center" shrinkToFit="0" vertical="center" wrapText="1"/>
    </xf>
    <xf borderId="18" fillId="6" fontId="5" numFmtId="0" xfId="0" applyAlignment="1" applyBorder="1" applyFill="1" applyFont="1">
      <alignment horizontal="center" shrinkToFit="0" vertical="center" wrapText="1"/>
    </xf>
    <xf borderId="19" fillId="6" fontId="5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left" shrinkToFit="0" vertical="center" wrapText="1"/>
    </xf>
    <xf borderId="21" fillId="6" fontId="5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14" xfId="0" applyAlignment="1" applyBorder="1" applyFont="1" applyNumberFormat="1">
      <alignment horizontal="left" shrinkToFit="0" vertical="center" wrapText="1"/>
    </xf>
    <xf borderId="1" fillId="0" fontId="5" numFmtId="0" xfId="0" applyAlignment="1" applyBorder="1" applyFont="1">
      <alignment horizontal="center" vertical="center"/>
    </xf>
    <xf borderId="22" fillId="5" fontId="5" numFmtId="49" xfId="0" applyAlignment="1" applyBorder="1" applyFont="1" applyNumberFormat="1">
      <alignment horizontal="center" shrinkToFit="0" vertical="center" wrapText="1"/>
    </xf>
    <xf borderId="23" fillId="5" fontId="5" numFmtId="49" xfId="0" applyAlignment="1" applyBorder="1" applyFont="1" applyNumberFormat="1">
      <alignment horizontal="center" shrinkToFit="0" vertical="center" wrapText="1"/>
    </xf>
    <xf borderId="24" fillId="0" fontId="4" numFmtId="0" xfId="0" applyBorder="1" applyFont="1"/>
    <xf borderId="25" fillId="0" fontId="4" numFmtId="0" xfId="0" applyBorder="1" applyFont="1"/>
    <xf borderId="26" fillId="5" fontId="5" numFmtId="49" xfId="0" applyAlignment="1" applyBorder="1" applyFont="1" applyNumberFormat="1">
      <alignment horizontal="center" shrinkToFit="0" vertical="center" wrapText="1"/>
    </xf>
    <xf borderId="27" fillId="5" fontId="5" numFmtId="49" xfId="0" applyAlignment="1" applyBorder="1" applyFont="1" applyNumberFormat="1">
      <alignment horizontal="center" shrinkToFit="0" vertical="center" wrapText="1"/>
    </xf>
    <xf borderId="28" fillId="5" fontId="5" numFmtId="49" xfId="0" applyAlignment="1" applyBorder="1" applyFont="1" applyNumberFormat="1">
      <alignment horizontal="center" shrinkToFit="0" vertical="center" wrapText="1"/>
    </xf>
    <xf borderId="29" fillId="0" fontId="1" numFmtId="0" xfId="0" applyAlignment="1" applyBorder="1" applyFont="1">
      <alignment shrinkToFit="0" wrapText="1"/>
    </xf>
    <xf borderId="11" fillId="0" fontId="1" numFmtId="9" xfId="0" applyAlignment="1" applyBorder="1" applyFont="1" applyNumberFormat="1">
      <alignment horizontal="center" shrinkToFit="0" wrapText="1"/>
    </xf>
    <xf borderId="30" fillId="0" fontId="1" numFmtId="9" xfId="0" applyAlignment="1" applyBorder="1" applyFont="1" applyNumberFormat="1">
      <alignment horizontal="center" shrinkToFit="0" wrapText="1"/>
    </xf>
    <xf borderId="31" fillId="0" fontId="1" numFmtId="0" xfId="0" applyAlignment="1" applyBorder="1" applyFont="1">
      <alignment shrinkToFit="0" wrapText="1"/>
    </xf>
    <xf borderId="32" fillId="0" fontId="1" numFmtId="9" xfId="0" applyAlignment="1" applyBorder="1" applyFont="1" applyNumberFormat="1">
      <alignment horizontal="center" shrinkToFit="0" wrapText="1"/>
    </xf>
    <xf borderId="33" fillId="0" fontId="1" numFmtId="9" xfId="0" applyAlignment="1" applyBorder="1" applyFont="1" applyNumberFormat="1">
      <alignment horizontal="center" shrinkToFit="0" wrapText="1"/>
    </xf>
    <xf borderId="34" fillId="0" fontId="4" numFmtId="0" xfId="0" applyBorder="1" applyFont="1"/>
    <xf borderId="35" fillId="5" fontId="5" numFmtId="49" xfId="0" applyAlignment="1" applyBorder="1" applyFont="1" applyNumberFormat="1">
      <alignment horizontal="center" shrinkToFit="0" vertical="center" wrapText="1"/>
    </xf>
    <xf borderId="32" fillId="5" fontId="5" numFmtId="49" xfId="0" applyAlignment="1" applyBorder="1" applyFont="1" applyNumberFormat="1">
      <alignment horizontal="center" shrinkToFit="0" vertical="center" wrapText="1"/>
    </xf>
    <xf borderId="33" fillId="5" fontId="5" numFmtId="49" xfId="0" applyAlignment="1" applyBorder="1" applyFont="1" applyNumberFormat="1">
      <alignment horizontal="center" shrinkToFit="0" vertical="center" wrapText="1"/>
    </xf>
    <xf borderId="36" fillId="0" fontId="1" numFmtId="0" xfId="0" applyAlignment="1" applyBorder="1" applyFont="1">
      <alignment shrinkToFit="0" wrapText="1"/>
    </xf>
    <xf borderId="37" fillId="0" fontId="1" numFmtId="9" xfId="0" applyAlignment="1" applyBorder="1" applyFont="1" applyNumberFormat="1">
      <alignment horizontal="center" shrinkToFit="0" wrapText="1"/>
    </xf>
    <xf borderId="38" fillId="0" fontId="1" numFmtId="9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SOCIALIZAÇÃO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AV1'!$C$16:$H$16</c:f>
            </c:strRef>
          </c:cat>
          <c:val>
            <c:numRef>
              <c:f>'CÁLCULOS e GRAF AV1'!$C$17:$H$17</c:f>
              <c:numCache/>
            </c:numRef>
          </c:val>
        </c:ser>
        <c:axId val="816355689"/>
        <c:axId val="389551673"/>
      </c:barChart>
      <c:catAx>
        <c:axId val="8163556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89551673"/>
      </c:catAx>
      <c:valAx>
        <c:axId val="3895516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81635568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LINGUAGEM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AV1'!$C$16:$H$16</c:f>
            </c:strRef>
          </c:cat>
          <c:val>
            <c:numRef>
              <c:f>'CÁLCULOS e GRAF AV1'!$C$18:$H$18</c:f>
              <c:numCache/>
            </c:numRef>
          </c:val>
        </c:ser>
        <c:axId val="648610139"/>
        <c:axId val="578799830"/>
      </c:barChart>
      <c:catAx>
        <c:axId val="6486101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78799830"/>
      </c:catAx>
      <c:valAx>
        <c:axId val="5787998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8610139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COGNIÇÃO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AV1'!$C$16:$H$16</c:f>
            </c:strRef>
          </c:cat>
          <c:val>
            <c:numRef>
              <c:f>'CÁLCULOS e GRAF AV1'!$C$19:$H$19</c:f>
              <c:numCache/>
            </c:numRef>
          </c:val>
        </c:ser>
        <c:axId val="1130485192"/>
        <c:axId val="1206440311"/>
      </c:barChart>
      <c:catAx>
        <c:axId val="1130485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6440311"/>
      </c:catAx>
      <c:valAx>
        <c:axId val="1206440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30485192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AUTOCUIDADOS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AV1'!$C$16:$H$16</c:f>
            </c:strRef>
          </c:cat>
          <c:val>
            <c:numRef>
              <c:f>'CÁLCULOS e GRAF AV1'!$C$20:$H$20</c:f>
              <c:numCache/>
            </c:numRef>
          </c:val>
        </c:ser>
        <c:axId val="1892507571"/>
        <c:axId val="720723287"/>
      </c:barChart>
      <c:catAx>
        <c:axId val="18925075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20723287"/>
      </c:catAx>
      <c:valAx>
        <c:axId val="7207232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92507571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DESENVOLVIMENTO MOTOR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AV1'!$C$16:$H$16</c:f>
            </c:strRef>
          </c:cat>
          <c:val>
            <c:numRef>
              <c:f>'CÁLCULOS e GRAF AV1'!$C$21:$H$21</c:f>
              <c:numCache/>
            </c:numRef>
          </c:val>
        </c:ser>
        <c:axId val="433444123"/>
        <c:axId val="608495939"/>
      </c:barChart>
      <c:catAx>
        <c:axId val="4334441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08495939"/>
      </c:catAx>
      <c:valAx>
        <c:axId val="6084959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3444123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% Acertos 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AV1'!$I$17:$I$21</c:f>
              <c:numCache/>
            </c:numRef>
          </c:val>
        </c:ser>
        <c:axId val="1514530790"/>
        <c:axId val="1404769503"/>
      </c:barChart>
      <c:catAx>
        <c:axId val="151453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4769503"/>
      </c:catAx>
      <c:valAx>
        <c:axId val="14047695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14530790"/>
      </c:valAx>
    </c:plotArea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0 - 1 ano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AV1'!$C$17:$C$21</c:f>
              <c:numCache/>
            </c:numRef>
          </c:val>
        </c:ser>
        <c:axId val="980939748"/>
        <c:axId val="1373546368"/>
      </c:barChart>
      <c:catAx>
        <c:axId val="9809397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73546368"/>
      </c:catAx>
      <c:valAx>
        <c:axId val="137354636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80939748"/>
        <c:crosses val="max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1 - 2 anos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AV1'!$D$17:$D$21</c:f>
              <c:numCache/>
            </c:numRef>
          </c:val>
        </c:ser>
        <c:axId val="1067485530"/>
        <c:axId val="955819307"/>
      </c:barChart>
      <c:catAx>
        <c:axId val="106748553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55819307"/>
      </c:catAx>
      <c:valAx>
        <c:axId val="9558193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67485530"/>
        <c:crosses val="max"/>
      </c:valAx>
    </c:plotArea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2 - 3 anos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AV1'!$E$17:$E$21</c:f>
              <c:numCache/>
            </c:numRef>
          </c:val>
        </c:ser>
        <c:axId val="186972453"/>
        <c:axId val="93643254"/>
      </c:barChart>
      <c:catAx>
        <c:axId val="18697245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643254"/>
      </c:catAx>
      <c:valAx>
        <c:axId val="936432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972453"/>
        <c:crosses val="max"/>
      </c:valAx>
    </c:plotArea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3 - 4 anos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AV1'!$F$17:$F$21</c:f>
              <c:numCache/>
            </c:numRef>
          </c:val>
        </c:ser>
        <c:axId val="202972162"/>
        <c:axId val="1147304554"/>
      </c:barChart>
      <c:catAx>
        <c:axId val="2029721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47304554"/>
      </c:catAx>
      <c:valAx>
        <c:axId val="11473045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972162"/>
        <c:crosses val="max"/>
      </c:valAx>
    </c:plotArea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4 - 5 anos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AV1'!$G$17:$G$21</c:f>
              <c:numCache/>
            </c:numRef>
          </c:val>
        </c:ser>
        <c:axId val="1202345057"/>
        <c:axId val="1034598137"/>
      </c:barChart>
      <c:catAx>
        <c:axId val="12023450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34598137"/>
      </c:catAx>
      <c:valAx>
        <c:axId val="10345981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02345057"/>
        <c:crosses val="max"/>
      </c:valAx>
    </c:plotArea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5 - 6 anos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AV1'!$B$17:$B$21</c:f>
            </c:strRef>
          </c:cat>
          <c:val>
            <c:numRef>
              <c:f>'CÁLCULOS e GRAF AV1'!$H$17:$H$21</c:f>
              <c:numCache/>
            </c:numRef>
          </c:val>
        </c:ser>
        <c:axId val="199939393"/>
        <c:axId val="1532192636"/>
      </c:barChart>
      <c:catAx>
        <c:axId val="19993939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32192636"/>
      </c:catAx>
      <c:valAx>
        <c:axId val="15321926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9939393"/>
        <c:crosses val="max"/>
      </c:valAx>
    </c:plotArea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Idade por Área de Desenvolvimento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AV1'!$B$8:$B$12</c:f>
            </c:strRef>
          </c:cat>
          <c:val>
            <c:numRef>
              <c:f>'CÁLCULOS e GRAF AV1'!$C$8:$C$12</c:f>
              <c:numCache/>
            </c:numRef>
          </c:val>
        </c:ser>
        <c:axId val="955205140"/>
        <c:axId val="1025961208"/>
      </c:barChart>
      <c:catAx>
        <c:axId val="9552051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5961208"/>
      </c:catAx>
      <c:valAx>
        <c:axId val="10259612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55205140"/>
      </c:valAx>
    </c:plotArea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SOCIALIZAÇÃO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AV2'!$C$16:$H$16</c:f>
            </c:strRef>
          </c:cat>
          <c:val>
            <c:numRef>
              <c:f>'CÁLCULOS E GRAF AV2'!$C$17:$H$17</c:f>
              <c:numCache/>
            </c:numRef>
          </c:val>
        </c:ser>
        <c:axId val="112809733"/>
        <c:axId val="1927663143"/>
      </c:barChart>
      <c:catAx>
        <c:axId val="112809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7663143"/>
      </c:catAx>
      <c:valAx>
        <c:axId val="19276631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2809733"/>
      </c:valAx>
    </c:plotArea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LINGUAGEM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AV2'!$C$16:$H$16</c:f>
            </c:strRef>
          </c:cat>
          <c:val>
            <c:numRef>
              <c:f>'CÁLCULOS E GRAF AV2'!$C$18:$H$18</c:f>
              <c:numCache/>
            </c:numRef>
          </c:val>
        </c:ser>
        <c:axId val="1803598957"/>
        <c:axId val="80323371"/>
      </c:barChart>
      <c:catAx>
        <c:axId val="18035989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0323371"/>
      </c:catAx>
      <c:valAx>
        <c:axId val="803233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3598957"/>
      </c:valAx>
    </c:plotArea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COGNIÇÃO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AV2'!$C$16:$H$16</c:f>
            </c:strRef>
          </c:cat>
          <c:val>
            <c:numRef>
              <c:f>'CÁLCULOS E GRAF AV2'!$C$19:$H$19</c:f>
              <c:numCache/>
            </c:numRef>
          </c:val>
        </c:ser>
        <c:axId val="1088551836"/>
        <c:axId val="671934969"/>
      </c:barChart>
      <c:catAx>
        <c:axId val="1088551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71934969"/>
      </c:catAx>
      <c:valAx>
        <c:axId val="6719349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088551836"/>
      </c:valAx>
    </c:plotArea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AUTOCUIDADOS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AV2'!$C$16:$H$16</c:f>
            </c:strRef>
          </c:cat>
          <c:val>
            <c:numRef>
              <c:f>'CÁLCULOS E GRAF AV2'!$C$20:$H$20</c:f>
              <c:numCache/>
            </c:numRef>
          </c:val>
        </c:ser>
        <c:axId val="282839844"/>
        <c:axId val="707252693"/>
      </c:barChart>
      <c:catAx>
        <c:axId val="282839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7252693"/>
      </c:catAx>
      <c:valAx>
        <c:axId val="7072526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82839844"/>
      </c:valAx>
    </c:plotArea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DESENVOLVIMENTO MOTOR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AV2'!$C$16:$H$16</c:f>
            </c:strRef>
          </c:cat>
          <c:val>
            <c:numRef>
              <c:f>'CÁLCULOS E GRAF AV2'!$C$21:$H$21</c:f>
              <c:numCache/>
            </c:numRef>
          </c:val>
        </c:ser>
        <c:axId val="590820745"/>
        <c:axId val="2031323039"/>
      </c:barChart>
      <c:catAx>
        <c:axId val="5908207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1323039"/>
      </c:catAx>
      <c:valAx>
        <c:axId val="20313230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90820745"/>
      </c:valAx>
    </c:plotArea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0 - 1 ano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AV2'!$C$17:$C$21</c:f>
              <c:numCache/>
            </c:numRef>
          </c:val>
        </c:ser>
        <c:axId val="680532410"/>
        <c:axId val="714367766"/>
      </c:barChart>
      <c:catAx>
        <c:axId val="6805324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4367766"/>
      </c:catAx>
      <c:valAx>
        <c:axId val="7143677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0532410"/>
        <c:crosses val="max"/>
      </c:valAx>
    </c:plotArea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1 - 2 anos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AV2'!$D$17:$D$21</c:f>
              <c:numCache/>
            </c:numRef>
          </c:val>
        </c:ser>
        <c:axId val="640183502"/>
        <c:axId val="1042541390"/>
      </c:barChart>
      <c:catAx>
        <c:axId val="6401835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42541390"/>
      </c:catAx>
      <c:valAx>
        <c:axId val="10425413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0183502"/>
        <c:crosses val="max"/>
      </c:valAx>
    </c:plotArea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2 - 3 anos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AV2'!$E$17:$E$21</c:f>
              <c:numCache/>
            </c:numRef>
          </c:val>
        </c:ser>
        <c:axId val="354926184"/>
        <c:axId val="1760363640"/>
      </c:barChart>
      <c:catAx>
        <c:axId val="35492618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0363640"/>
      </c:catAx>
      <c:valAx>
        <c:axId val="17603636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54926184"/>
        <c:crosses val="max"/>
      </c:valAx>
    </c:plotArea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3 - 4 anos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AV2'!$F$17:$F$21</c:f>
              <c:numCache/>
            </c:numRef>
          </c:val>
        </c:ser>
        <c:axId val="1388150657"/>
        <c:axId val="1189476547"/>
      </c:barChart>
      <c:catAx>
        <c:axId val="13881506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89476547"/>
      </c:catAx>
      <c:valAx>
        <c:axId val="11894765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88150657"/>
        <c:crosses val="max"/>
      </c:valAx>
    </c:plotArea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4 - 5 anos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AV2'!$G$17:$G$21</c:f>
              <c:numCache/>
            </c:numRef>
          </c:val>
        </c:ser>
        <c:axId val="111326517"/>
        <c:axId val="1352967495"/>
      </c:barChart>
      <c:catAx>
        <c:axId val="1113265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2967495"/>
      </c:catAx>
      <c:valAx>
        <c:axId val="13529674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326517"/>
        <c:crosses val="max"/>
      </c:valAx>
    </c:plotArea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5 - 6 anos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AV2'!$H$17:$H$21</c:f>
              <c:numCache/>
            </c:numRef>
          </c:val>
        </c:ser>
        <c:axId val="1778511726"/>
        <c:axId val="1330291973"/>
      </c:barChart>
      <c:catAx>
        <c:axId val="17785117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30291973"/>
      </c:catAx>
      <c:valAx>
        <c:axId val="13302919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8511726"/>
        <c:crosses val="max"/>
      </c:valAx>
    </c:plotArea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Idade por Área de Desenvolvimento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AV2'!$B$8:$B$12</c:f>
            </c:strRef>
          </c:cat>
          <c:val>
            <c:numRef>
              <c:f>'CÁLCULOS E GRAF AV2'!$C$8:$C$12</c:f>
              <c:numCache/>
            </c:numRef>
          </c:val>
        </c:ser>
        <c:axId val="1929325961"/>
        <c:axId val="1951354948"/>
      </c:barChart>
      <c:catAx>
        <c:axId val="19293259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1354948"/>
      </c:catAx>
      <c:valAx>
        <c:axId val="1951354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29325961"/>
      </c:valAx>
    </c:plotArea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% Acertos 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GRAF AV2'!$B$17:$B$21</c:f>
            </c:strRef>
          </c:cat>
          <c:val>
            <c:numRef>
              <c:f>'CÁLCULOS E GRAF AV2'!$I$17:$I$21</c:f>
              <c:numCache/>
            </c:numRef>
          </c:val>
        </c:ser>
        <c:axId val="1529245447"/>
        <c:axId val="1862733725"/>
      </c:barChart>
      <c:catAx>
        <c:axId val="15292454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62733725"/>
      </c:catAx>
      <c:valAx>
        <c:axId val="18627337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529245447"/>
      </c:valAx>
    </c:plotArea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SOCIALIZAÇÃO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AV3'!$C$16:$H$16</c:f>
            </c:strRef>
          </c:cat>
          <c:val>
            <c:numRef>
              <c:f>'CÁLCULOS E GRÁF AV3'!$C$17:$H$17</c:f>
              <c:numCache/>
            </c:numRef>
          </c:val>
        </c:ser>
        <c:axId val="548541696"/>
        <c:axId val="1916727910"/>
      </c:barChart>
      <c:catAx>
        <c:axId val="548541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16727910"/>
      </c:catAx>
      <c:valAx>
        <c:axId val="19167279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48541696"/>
      </c:valAx>
    </c:plotArea>
    <c:plotVisOnly val="1"/>
  </c:chart>
</c:chartSpace>
</file>

<file path=xl/charts/chart2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LINGUAGEM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AV3'!$C$16:$H$16</c:f>
            </c:strRef>
          </c:cat>
          <c:val>
            <c:numRef>
              <c:f>'CÁLCULOS E GRÁF AV3'!$C$18:$H$18</c:f>
              <c:numCache/>
            </c:numRef>
          </c:val>
        </c:ser>
        <c:axId val="259795968"/>
        <c:axId val="1453088815"/>
      </c:barChart>
      <c:catAx>
        <c:axId val="259795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3088815"/>
      </c:catAx>
      <c:valAx>
        <c:axId val="1453088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59795968"/>
      </c:valAx>
    </c:plotArea>
    <c:plotVisOnly val="1"/>
  </c:chart>
</c:chartSpace>
</file>

<file path=xl/charts/chart2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COGNIÇÃO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AV3'!$C$16:$H$16</c:f>
            </c:strRef>
          </c:cat>
          <c:val>
            <c:numRef>
              <c:f>'CÁLCULOS E GRÁF AV3'!$C$19:$H$19</c:f>
              <c:numCache/>
            </c:numRef>
          </c:val>
        </c:ser>
        <c:axId val="1451387861"/>
        <c:axId val="1077314857"/>
      </c:barChart>
      <c:catAx>
        <c:axId val="1451387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77314857"/>
      </c:catAx>
      <c:valAx>
        <c:axId val="1077314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451387861"/>
      </c:valAx>
    </c:plotArea>
    <c:plotVisOnly val="1"/>
  </c:chart>
</c:chartSpace>
</file>

<file path=xl/charts/chart3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AUTOCUIDADOS</c:v>
          </c:tx>
          <c:spPr>
            <a:solidFill>
              <a:srgbClr val="7030A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AV3'!$C$16:$H$16</c:f>
            </c:strRef>
          </c:cat>
          <c:val>
            <c:numRef>
              <c:f>'CÁLCULOS E GRÁF AV3'!$C$20:$H$20</c:f>
              <c:numCache/>
            </c:numRef>
          </c:val>
        </c:ser>
        <c:axId val="1103854711"/>
        <c:axId val="540650631"/>
      </c:barChart>
      <c:catAx>
        <c:axId val="1103854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40650631"/>
      </c:catAx>
      <c:valAx>
        <c:axId val="5406506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103854711"/>
      </c:valAx>
    </c:plotArea>
    <c:plotVisOnly val="1"/>
  </c:chart>
</c:chartSpace>
</file>

<file path=xl/charts/chart3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DESENVOLVIMENTO MOTOR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AV3'!$C$16:$H$16</c:f>
            </c:strRef>
          </c:cat>
          <c:val>
            <c:numRef>
              <c:f>'CÁLCULOS E GRÁF AV3'!$C$21:$H$21</c:f>
              <c:numCache/>
            </c:numRef>
          </c:val>
        </c:ser>
        <c:axId val="1288307606"/>
        <c:axId val="70400582"/>
      </c:barChart>
      <c:catAx>
        <c:axId val="12883076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400582"/>
      </c:catAx>
      <c:valAx>
        <c:axId val="704005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288307606"/>
      </c:valAx>
    </c:plotArea>
    <c:plotVisOnly val="1"/>
  </c:chart>
</c:chartSpace>
</file>

<file path=xl/charts/chart3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% Acertos Total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AV3'!$I$17:$I$21</c:f>
              <c:numCache/>
            </c:numRef>
          </c:val>
        </c:ser>
        <c:axId val="970864586"/>
        <c:axId val="2031810648"/>
      </c:barChart>
      <c:catAx>
        <c:axId val="9708645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31810648"/>
      </c:catAx>
      <c:valAx>
        <c:axId val="20318106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0864586"/>
      </c:valAx>
    </c:plotArea>
    <c:plotVisOnly val="1"/>
  </c:chart>
</c:chartSpace>
</file>

<file path=xl/charts/chart3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0 - 1 ano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AV3'!$C$17:$C$21</c:f>
              <c:numCache/>
            </c:numRef>
          </c:val>
        </c:ser>
        <c:axId val="265035065"/>
        <c:axId val="814762930"/>
      </c:barChart>
      <c:catAx>
        <c:axId val="2650350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14762930"/>
      </c:catAx>
      <c:valAx>
        <c:axId val="8147629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65035065"/>
        <c:crosses val="max"/>
      </c:valAx>
    </c:plotArea>
    <c:plotVisOnly val="1"/>
  </c:chart>
</c:chartSpace>
</file>

<file path=xl/charts/chart3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1 - 2 anos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AV3'!$D$17:$D$21</c:f>
              <c:numCache/>
            </c:numRef>
          </c:val>
        </c:ser>
        <c:axId val="796846704"/>
        <c:axId val="1368873963"/>
      </c:barChart>
      <c:catAx>
        <c:axId val="796846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68873963"/>
      </c:catAx>
      <c:valAx>
        <c:axId val="13688739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96846704"/>
        <c:crosses val="max"/>
      </c:valAx>
    </c:plotArea>
    <c:plotVisOnly val="1"/>
  </c:chart>
</c:chartSpace>
</file>

<file path=xl/charts/chart3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2 - 3 anos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AV3'!$E$17:$E$21</c:f>
              <c:numCache/>
            </c:numRef>
          </c:val>
        </c:ser>
        <c:axId val="706854066"/>
        <c:axId val="1461219187"/>
      </c:barChart>
      <c:catAx>
        <c:axId val="70685406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1219187"/>
      </c:catAx>
      <c:valAx>
        <c:axId val="14612191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6854066"/>
        <c:crosses val="max"/>
      </c:valAx>
    </c:plotArea>
    <c:plotVisOnly val="1"/>
  </c:chart>
</c:chartSpace>
</file>

<file path=xl/charts/chart3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3 - 4 anos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AV3'!$F$17:$F$21</c:f>
              <c:numCache/>
            </c:numRef>
          </c:val>
        </c:ser>
        <c:axId val="392220757"/>
        <c:axId val="1522354582"/>
      </c:barChart>
      <c:catAx>
        <c:axId val="39222075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2354582"/>
      </c:catAx>
      <c:valAx>
        <c:axId val="1522354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2220757"/>
        <c:crosses val="max"/>
      </c:valAx>
    </c:plotArea>
    <c:plotVisOnly val="1"/>
  </c:chart>
</c:chartSpace>
</file>

<file path=xl/charts/chart3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4 - 5 anos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AV3'!$G$17:$G$21</c:f>
              <c:numCache/>
            </c:numRef>
          </c:val>
        </c:ser>
        <c:axId val="1022679216"/>
        <c:axId val="1458641231"/>
      </c:barChart>
      <c:catAx>
        <c:axId val="10226792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58641231"/>
      </c:catAx>
      <c:valAx>
        <c:axId val="1458641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22679216"/>
        <c:crosses val="max"/>
      </c:valAx>
    </c:plotArea>
    <c:plotVisOnly val="1"/>
  </c:chart>
</c:chartSpace>
</file>

<file path=xl/charts/chart3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5 - 6 anos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AV3'!$B$17:$B$21</c:f>
            </c:strRef>
          </c:cat>
          <c:val>
            <c:numRef>
              <c:f>'CÁLCULOS E GRÁF AV3'!$H$17:$H$21</c:f>
              <c:numCache/>
            </c:numRef>
          </c:val>
        </c:ser>
        <c:axId val="1642887987"/>
        <c:axId val="398981511"/>
      </c:barChart>
      <c:catAx>
        <c:axId val="164288798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98981511"/>
      </c:catAx>
      <c:valAx>
        <c:axId val="3989815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2887987"/>
        <c:crosses val="max"/>
      </c:valAx>
    </c:plotArea>
    <c:plotVisOnly val="1"/>
  </c:chart>
</c:chartSpace>
</file>

<file path=xl/charts/chart3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Idade por Área de Desenvolvimento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'CÁLCULOS E GRÁF AV3'!$B$8:$B$12</c:f>
            </c:strRef>
          </c:cat>
          <c:val>
            <c:numRef>
              <c:f>'CÁLCULOS E GRÁF AV3'!$C$8:$C$12</c:f>
              <c:numCache/>
            </c:numRef>
          </c:val>
        </c:ser>
        <c:axId val="435865802"/>
        <c:axId val="252019422"/>
      </c:barChart>
      <c:catAx>
        <c:axId val="4358658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2019422"/>
      </c:catAx>
      <c:valAx>
        <c:axId val="2520194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435865802"/>
      </c:valAx>
    </c:plotArea>
    <c:plotVisOnly val="1"/>
  </c:chart>
</c:chartSpace>
</file>

<file path=xl/charts/chart4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CONSOLIDADO - AV 1 a AV 3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AV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CONSOLIDADO!$B$47:$B$51</c:f>
            </c:strRef>
          </c:cat>
          <c:val>
            <c:numRef>
              <c:f>CONSOLIDADO!$C$47:$C$51</c:f>
              <c:numCache/>
            </c:numRef>
          </c:val>
        </c:ser>
        <c:ser>
          <c:idx val="1"/>
          <c:order val="1"/>
          <c:tx>
            <c:v>AV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CONSOLIDADO!$B$47:$B$51</c:f>
            </c:strRef>
          </c:cat>
          <c:val>
            <c:numRef>
              <c:f>CONSOLIDADO!$D$47:$D$51</c:f>
              <c:numCache/>
            </c:numRef>
          </c:val>
        </c:ser>
        <c:ser>
          <c:idx val="2"/>
          <c:order val="2"/>
          <c:tx>
            <c:v>AV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11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CONSOLIDADO!$B$47:$B$51</c:f>
            </c:strRef>
          </c:cat>
          <c:val>
            <c:numRef>
              <c:f>CONSOLIDADO!$E$47:$E$51</c:f>
              <c:numCache/>
            </c:numRef>
          </c:val>
        </c:ser>
        <c:axId val="1813325805"/>
        <c:axId val="1019121482"/>
      </c:barChart>
      <c:catAx>
        <c:axId val="18133258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9121482"/>
      </c:catAx>
      <c:valAx>
        <c:axId val="10191214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13325805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CONSOLIDADO - AV 1 a AV 3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AV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CONSOLIDADO!$B$47:$B$51</c:f>
            </c:strRef>
          </c:cat>
          <c:val>
            <c:numRef>
              <c:f>CONSOLIDADO!$C$47:$C$51</c:f>
              <c:numCache/>
            </c:numRef>
          </c:val>
        </c:ser>
        <c:ser>
          <c:idx val="1"/>
          <c:order val="1"/>
          <c:tx>
            <c:v>AV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CONSOLIDADO!$B$47:$B$51</c:f>
            </c:strRef>
          </c:cat>
          <c:val>
            <c:numRef>
              <c:f>CONSOLIDADO!$D$47:$D$51</c:f>
              <c:numCache/>
            </c:numRef>
          </c:val>
        </c:ser>
        <c:ser>
          <c:idx val="2"/>
          <c:order val="2"/>
          <c:tx>
            <c:v>AV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8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CONSOLIDADO!$B$47:$B$51</c:f>
            </c:strRef>
          </c:cat>
          <c:val>
            <c:numRef>
              <c:f>CONSOLIDADO!$E$47:$E$51</c:f>
              <c:numCache/>
            </c:numRef>
          </c:val>
        </c:ser>
        <c:axId val="1918095077"/>
        <c:axId val="1683932929"/>
      </c:barChart>
      <c:catAx>
        <c:axId val="19180950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3932929"/>
      </c:catAx>
      <c:valAx>
        <c:axId val="16839329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1809507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4.xml"/><Relationship Id="rId10" Type="http://schemas.openxmlformats.org/officeDocument/2006/relationships/chart" Target="../charts/chart23.xml"/><Relationship Id="rId13" Type="http://schemas.openxmlformats.org/officeDocument/2006/relationships/chart" Target="../charts/chart26.xml"/><Relationship Id="rId12" Type="http://schemas.openxmlformats.org/officeDocument/2006/relationships/chart" Target="../charts/chart25.xml"/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Relationship Id="rId4" Type="http://schemas.openxmlformats.org/officeDocument/2006/relationships/chart" Target="../charts/chart17.xml"/><Relationship Id="rId9" Type="http://schemas.openxmlformats.org/officeDocument/2006/relationships/chart" Target="../charts/chart22.xml"/><Relationship Id="rId5" Type="http://schemas.openxmlformats.org/officeDocument/2006/relationships/chart" Target="../charts/chart18.xml"/><Relationship Id="rId6" Type="http://schemas.openxmlformats.org/officeDocument/2006/relationships/chart" Target="../charts/chart19.xml"/><Relationship Id="rId7" Type="http://schemas.openxmlformats.org/officeDocument/2006/relationships/chart" Target="../charts/chart20.xml"/><Relationship Id="rId8" Type="http://schemas.openxmlformats.org/officeDocument/2006/relationships/chart" Target="../charts/chart2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1" Type="http://schemas.openxmlformats.org/officeDocument/2006/relationships/chart" Target="../charts/chart37.xml"/><Relationship Id="rId10" Type="http://schemas.openxmlformats.org/officeDocument/2006/relationships/chart" Target="../charts/chart36.xml"/><Relationship Id="rId13" Type="http://schemas.openxmlformats.org/officeDocument/2006/relationships/chart" Target="../charts/chart39.xml"/><Relationship Id="rId12" Type="http://schemas.openxmlformats.org/officeDocument/2006/relationships/chart" Target="../charts/chart38.xml"/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5" Type="http://schemas.openxmlformats.org/officeDocument/2006/relationships/chart" Target="../charts/chart31.xml"/><Relationship Id="rId6" Type="http://schemas.openxmlformats.org/officeDocument/2006/relationships/chart" Target="../charts/chart32.xml"/><Relationship Id="rId7" Type="http://schemas.openxmlformats.org/officeDocument/2006/relationships/chart" Target="../charts/chart33.xml"/><Relationship Id="rId8" Type="http://schemas.openxmlformats.org/officeDocument/2006/relationships/chart" Target="../charts/chart3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42</xdr:row>
      <xdr:rowOff>95250</xdr:rowOff>
    </xdr:from>
    <xdr:ext cx="4924425" cy="2657475"/>
    <xdr:graphicFrame>
      <xdr:nvGraphicFramePr>
        <xdr:cNvPr id="81365088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142875</xdr:colOff>
      <xdr:row>57</xdr:row>
      <xdr:rowOff>0</xdr:rowOff>
    </xdr:from>
    <xdr:ext cx="4886325" cy="2876550"/>
    <xdr:graphicFrame>
      <xdr:nvGraphicFramePr>
        <xdr:cNvPr id="20994298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171450</xdr:colOff>
      <xdr:row>42</xdr:row>
      <xdr:rowOff>142875</xdr:rowOff>
    </xdr:from>
    <xdr:ext cx="4333875" cy="2657475"/>
    <xdr:graphicFrame>
      <xdr:nvGraphicFramePr>
        <xdr:cNvPr id="1802330861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409575</xdr:colOff>
      <xdr:row>57</xdr:row>
      <xdr:rowOff>76200</xdr:rowOff>
    </xdr:from>
    <xdr:ext cx="4819650" cy="2876550"/>
    <xdr:graphicFrame>
      <xdr:nvGraphicFramePr>
        <xdr:cNvPr id="57753171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0</xdr:colOff>
      <xdr:row>57</xdr:row>
      <xdr:rowOff>104775</xdr:rowOff>
    </xdr:from>
    <xdr:ext cx="4400550" cy="2876550"/>
    <xdr:graphicFrame>
      <xdr:nvGraphicFramePr>
        <xdr:cNvPr id="120564467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161925</xdr:colOff>
      <xdr:row>9</xdr:row>
      <xdr:rowOff>142875</xdr:rowOff>
    </xdr:from>
    <xdr:ext cx="5572125" cy="2514600"/>
    <xdr:graphicFrame>
      <xdr:nvGraphicFramePr>
        <xdr:cNvPr id="1891681617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276225</xdr:colOff>
      <xdr:row>74</xdr:row>
      <xdr:rowOff>47625</xdr:rowOff>
    </xdr:from>
    <xdr:ext cx="4581525" cy="2876550"/>
    <xdr:graphicFrame>
      <xdr:nvGraphicFramePr>
        <xdr:cNvPr id="103993066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361950</xdr:colOff>
      <xdr:row>74</xdr:row>
      <xdr:rowOff>57150</xdr:rowOff>
    </xdr:from>
    <xdr:ext cx="4486275" cy="2876550"/>
    <xdr:graphicFrame>
      <xdr:nvGraphicFramePr>
        <xdr:cNvPr id="121841502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514350</xdr:colOff>
      <xdr:row>74</xdr:row>
      <xdr:rowOff>76200</xdr:rowOff>
    </xdr:from>
    <xdr:ext cx="4419600" cy="2876550"/>
    <xdr:graphicFrame>
      <xdr:nvGraphicFramePr>
        <xdr:cNvPr id="6420707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276225</xdr:colOff>
      <xdr:row>91</xdr:row>
      <xdr:rowOff>76200</xdr:rowOff>
    </xdr:from>
    <xdr:ext cx="4581525" cy="2867025"/>
    <xdr:graphicFrame>
      <xdr:nvGraphicFramePr>
        <xdr:cNvPr id="154556689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200025</xdr:colOff>
      <xdr:row>91</xdr:row>
      <xdr:rowOff>76200</xdr:rowOff>
    </xdr:from>
    <xdr:ext cx="4533900" cy="2876550"/>
    <xdr:graphicFrame>
      <xdr:nvGraphicFramePr>
        <xdr:cNvPr id="1697834073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104775</xdr:colOff>
      <xdr:row>91</xdr:row>
      <xdr:rowOff>76200</xdr:rowOff>
    </xdr:from>
    <xdr:ext cx="4410075" cy="2867025"/>
    <xdr:graphicFrame>
      <xdr:nvGraphicFramePr>
        <xdr:cNvPr id="100398837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133350</xdr:colOff>
      <xdr:row>3</xdr:row>
      <xdr:rowOff>19050</xdr:rowOff>
    </xdr:from>
    <xdr:ext cx="7077075" cy="1990725"/>
    <xdr:graphicFrame>
      <xdr:nvGraphicFramePr>
        <xdr:cNvPr id="1404999322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857250</xdr:colOff>
      <xdr:row>42</xdr:row>
      <xdr:rowOff>95250</xdr:rowOff>
    </xdr:from>
    <xdr:ext cx="4895850" cy="2657475"/>
    <xdr:graphicFrame>
      <xdr:nvGraphicFramePr>
        <xdr:cNvPr id="311382357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142875</xdr:colOff>
      <xdr:row>57</xdr:row>
      <xdr:rowOff>0</xdr:rowOff>
    </xdr:from>
    <xdr:ext cx="4886325" cy="2876550"/>
    <xdr:graphicFrame>
      <xdr:nvGraphicFramePr>
        <xdr:cNvPr id="1239708373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171450</xdr:colOff>
      <xdr:row>42</xdr:row>
      <xdr:rowOff>142875</xdr:rowOff>
    </xdr:from>
    <xdr:ext cx="4333875" cy="2657475"/>
    <xdr:graphicFrame>
      <xdr:nvGraphicFramePr>
        <xdr:cNvPr id="63915440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409575</xdr:colOff>
      <xdr:row>57</xdr:row>
      <xdr:rowOff>76200</xdr:rowOff>
    </xdr:from>
    <xdr:ext cx="4924425" cy="2876550"/>
    <xdr:graphicFrame>
      <xdr:nvGraphicFramePr>
        <xdr:cNvPr id="170471975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0</xdr:colOff>
      <xdr:row>57</xdr:row>
      <xdr:rowOff>104775</xdr:rowOff>
    </xdr:from>
    <xdr:ext cx="4400550" cy="2876550"/>
    <xdr:graphicFrame>
      <xdr:nvGraphicFramePr>
        <xdr:cNvPr id="1085604331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276225</xdr:colOff>
      <xdr:row>74</xdr:row>
      <xdr:rowOff>47625</xdr:rowOff>
    </xdr:from>
    <xdr:ext cx="4581525" cy="2876550"/>
    <xdr:graphicFrame>
      <xdr:nvGraphicFramePr>
        <xdr:cNvPr id="68091776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361950</xdr:colOff>
      <xdr:row>74</xdr:row>
      <xdr:rowOff>57150</xdr:rowOff>
    </xdr:from>
    <xdr:ext cx="4591050" cy="2876550"/>
    <xdr:graphicFrame>
      <xdr:nvGraphicFramePr>
        <xdr:cNvPr id="268792758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514350</xdr:colOff>
      <xdr:row>74</xdr:row>
      <xdr:rowOff>76200</xdr:rowOff>
    </xdr:from>
    <xdr:ext cx="4419600" cy="2876550"/>
    <xdr:graphicFrame>
      <xdr:nvGraphicFramePr>
        <xdr:cNvPr id="902825227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</xdr:col>
      <xdr:colOff>276225</xdr:colOff>
      <xdr:row>91</xdr:row>
      <xdr:rowOff>76200</xdr:rowOff>
    </xdr:from>
    <xdr:ext cx="4581525" cy="2867025"/>
    <xdr:graphicFrame>
      <xdr:nvGraphicFramePr>
        <xdr:cNvPr id="1601996721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295275</xdr:colOff>
      <xdr:row>91</xdr:row>
      <xdr:rowOff>66675</xdr:rowOff>
    </xdr:from>
    <xdr:ext cx="4638675" cy="2876550"/>
    <xdr:graphicFrame>
      <xdr:nvGraphicFramePr>
        <xdr:cNvPr id="975218187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10</xdr:col>
      <xdr:colOff>152400</xdr:colOff>
      <xdr:row>91</xdr:row>
      <xdr:rowOff>38100</xdr:rowOff>
    </xdr:from>
    <xdr:ext cx="4410075" cy="2867025"/>
    <xdr:graphicFrame>
      <xdr:nvGraphicFramePr>
        <xdr:cNvPr id="1404216873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4</xdr:col>
      <xdr:colOff>581025</xdr:colOff>
      <xdr:row>3</xdr:row>
      <xdr:rowOff>19050</xdr:rowOff>
    </xdr:from>
    <xdr:ext cx="5753100" cy="2228850"/>
    <xdr:graphicFrame>
      <xdr:nvGraphicFramePr>
        <xdr:cNvPr id="1706084287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9</xdr:col>
      <xdr:colOff>209550</xdr:colOff>
      <xdr:row>12</xdr:row>
      <xdr:rowOff>9525</xdr:rowOff>
    </xdr:from>
    <xdr:ext cx="6105525" cy="2238375"/>
    <xdr:graphicFrame>
      <xdr:nvGraphicFramePr>
        <xdr:cNvPr id="741869766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247650</xdr:colOff>
      <xdr:row>0</xdr:row>
      <xdr:rowOff>114300</xdr:rowOff>
    </xdr:from>
    <xdr:ext cx="1152525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857250</xdr:colOff>
      <xdr:row>42</xdr:row>
      <xdr:rowOff>95250</xdr:rowOff>
    </xdr:from>
    <xdr:ext cx="4895850" cy="2657475"/>
    <xdr:graphicFrame>
      <xdr:nvGraphicFramePr>
        <xdr:cNvPr id="763688565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142875</xdr:colOff>
      <xdr:row>57</xdr:row>
      <xdr:rowOff>0</xdr:rowOff>
    </xdr:from>
    <xdr:ext cx="4886325" cy="2876550"/>
    <xdr:graphicFrame>
      <xdr:nvGraphicFramePr>
        <xdr:cNvPr id="736968757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171450</xdr:colOff>
      <xdr:row>42</xdr:row>
      <xdr:rowOff>142875</xdr:rowOff>
    </xdr:from>
    <xdr:ext cx="4333875" cy="2657475"/>
    <xdr:graphicFrame>
      <xdr:nvGraphicFramePr>
        <xdr:cNvPr id="861481657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409575</xdr:colOff>
      <xdr:row>57</xdr:row>
      <xdr:rowOff>76200</xdr:rowOff>
    </xdr:from>
    <xdr:ext cx="4924425" cy="2876550"/>
    <xdr:graphicFrame>
      <xdr:nvGraphicFramePr>
        <xdr:cNvPr id="468873673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11</xdr:col>
      <xdr:colOff>0</xdr:colOff>
      <xdr:row>57</xdr:row>
      <xdr:rowOff>104775</xdr:rowOff>
    </xdr:from>
    <xdr:ext cx="4400550" cy="2876550"/>
    <xdr:graphicFrame>
      <xdr:nvGraphicFramePr>
        <xdr:cNvPr id="53818857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438150</xdr:colOff>
      <xdr:row>10</xdr:row>
      <xdr:rowOff>47625</xdr:rowOff>
    </xdr:from>
    <xdr:ext cx="5438775" cy="2514600"/>
    <xdr:graphicFrame>
      <xdr:nvGraphicFramePr>
        <xdr:cNvPr id="595722920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276225</xdr:colOff>
      <xdr:row>74</xdr:row>
      <xdr:rowOff>47625</xdr:rowOff>
    </xdr:from>
    <xdr:ext cx="4581525" cy="2876550"/>
    <xdr:graphicFrame>
      <xdr:nvGraphicFramePr>
        <xdr:cNvPr id="1291942565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361950</xdr:colOff>
      <xdr:row>74</xdr:row>
      <xdr:rowOff>57150</xdr:rowOff>
    </xdr:from>
    <xdr:ext cx="4591050" cy="2876550"/>
    <xdr:graphicFrame>
      <xdr:nvGraphicFramePr>
        <xdr:cNvPr id="539392571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10</xdr:col>
      <xdr:colOff>514350</xdr:colOff>
      <xdr:row>74</xdr:row>
      <xdr:rowOff>76200</xdr:rowOff>
    </xdr:from>
    <xdr:ext cx="4419600" cy="2876550"/>
    <xdr:graphicFrame>
      <xdr:nvGraphicFramePr>
        <xdr:cNvPr id="1166584829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1</xdr:col>
      <xdr:colOff>276225</xdr:colOff>
      <xdr:row>91</xdr:row>
      <xdr:rowOff>76200</xdr:rowOff>
    </xdr:from>
    <xdr:ext cx="4581525" cy="2867025"/>
    <xdr:graphicFrame>
      <xdr:nvGraphicFramePr>
        <xdr:cNvPr id="1626108143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5</xdr:col>
      <xdr:colOff>438150</xdr:colOff>
      <xdr:row>91</xdr:row>
      <xdr:rowOff>38100</xdr:rowOff>
    </xdr:from>
    <xdr:ext cx="4638675" cy="2876550"/>
    <xdr:graphicFrame>
      <xdr:nvGraphicFramePr>
        <xdr:cNvPr id="910590633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10</xdr:col>
      <xdr:colOff>104775</xdr:colOff>
      <xdr:row>90</xdr:row>
      <xdr:rowOff>114300</xdr:rowOff>
    </xdr:from>
    <xdr:ext cx="4410075" cy="2867025"/>
    <xdr:graphicFrame>
      <xdr:nvGraphicFramePr>
        <xdr:cNvPr id="1648834570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4</xdr:col>
      <xdr:colOff>190500</xdr:colOff>
      <xdr:row>1</xdr:row>
      <xdr:rowOff>0</xdr:rowOff>
    </xdr:from>
    <xdr:ext cx="6896100" cy="2009775"/>
    <xdr:graphicFrame>
      <xdr:nvGraphicFramePr>
        <xdr:cNvPr id="588899502" name="Chart 3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4</xdr:row>
      <xdr:rowOff>47625</xdr:rowOff>
    </xdr:from>
    <xdr:ext cx="7439025" cy="2600325"/>
    <xdr:graphicFrame>
      <xdr:nvGraphicFramePr>
        <xdr:cNvPr id="1229929644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219075</xdr:colOff>
      <xdr:row>4</xdr:row>
      <xdr:rowOff>38100</xdr:rowOff>
    </xdr:from>
    <xdr:ext cx="5505450" cy="2647950"/>
    <xdr:graphicFrame>
      <xdr:nvGraphicFramePr>
        <xdr:cNvPr id="1082769678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43"/>
    <col customWidth="1" min="2" max="2" width="59.43"/>
    <col customWidth="1" min="3" max="3" width="20.86"/>
    <col customWidth="1" min="4" max="4" width="9.57"/>
    <col customWidth="1" min="5" max="5" width="59.43"/>
    <col customWidth="1" min="6" max="6" width="18.43"/>
    <col customWidth="1" min="7" max="7" width="11.71"/>
    <col customWidth="1" min="8" max="8" width="59.43"/>
    <col customWidth="1" min="9" max="9" width="17.43"/>
    <col customWidth="1" min="10" max="10" width="11.43"/>
    <col customWidth="1" min="11" max="11" width="59.57"/>
    <col customWidth="1" min="12" max="12" width="17.43"/>
    <col customWidth="1" min="13" max="13" width="10.86"/>
    <col customWidth="1" min="14" max="14" width="59.43"/>
    <col customWidth="1" min="15" max="15" width="17.43"/>
    <col customWidth="1" min="16" max="16" width="12.0"/>
    <col customWidth="1" min="17" max="26" width="8.71"/>
  </cols>
  <sheetData>
    <row r="1" ht="42.0" customHeight="1">
      <c r="A1" s="1"/>
      <c r="B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0.7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6"/>
      <c r="C3" s="6"/>
      <c r="D3" s="6"/>
      <c r="E3" s="6"/>
      <c r="F3" s="7"/>
      <c r="G3" s="6"/>
      <c r="H3" s="6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1</v>
      </c>
      <c r="C4" s="9" t="s">
        <v>2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3</v>
      </c>
      <c r="C5" s="9">
        <v>2.0</v>
      </c>
      <c r="D5" s="6"/>
      <c r="E5" s="6"/>
      <c r="F5" s="7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4</v>
      </c>
      <c r="C6" s="9" t="s">
        <v>5</v>
      </c>
      <c r="D6" s="6"/>
      <c r="E6" s="6"/>
      <c r="F6" s="7"/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6</v>
      </c>
      <c r="C7" s="10">
        <v>46074.0</v>
      </c>
      <c r="D7" s="6"/>
      <c r="E7" s="6"/>
      <c r="F7" s="7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6"/>
      <c r="E8" s="6"/>
      <c r="F8" s="7"/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2.25" customHeight="1">
      <c r="A9" s="1"/>
      <c r="B9" s="12" t="s">
        <v>7</v>
      </c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1"/>
      <c r="B10" s="12" t="s">
        <v>8</v>
      </c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3"/>
      <c r="B11" s="16" t="s">
        <v>9</v>
      </c>
      <c r="C11" s="17"/>
      <c r="D11" s="18"/>
      <c r="E11" s="16" t="s">
        <v>10</v>
      </c>
      <c r="F11" s="17"/>
      <c r="G11" s="18"/>
      <c r="H11" s="16" t="s">
        <v>11</v>
      </c>
      <c r="I11" s="17"/>
      <c r="J11" s="18"/>
      <c r="K11" s="16" t="s">
        <v>12</v>
      </c>
      <c r="L11" s="17"/>
      <c r="M11" s="18"/>
      <c r="N11" s="16" t="s">
        <v>13</v>
      </c>
      <c r="O11" s="17"/>
      <c r="P11" s="18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1"/>
      <c r="B12" s="19" t="s">
        <v>14</v>
      </c>
      <c r="C12" s="20" t="s">
        <v>15</v>
      </c>
      <c r="D12" s="20" t="s">
        <v>16</v>
      </c>
      <c r="E12" s="19" t="s">
        <v>17</v>
      </c>
      <c r="F12" s="20" t="s">
        <v>15</v>
      </c>
      <c r="G12" s="20" t="s">
        <v>16</v>
      </c>
      <c r="H12" s="19" t="s">
        <v>18</v>
      </c>
      <c r="I12" s="20" t="s">
        <v>15</v>
      </c>
      <c r="J12" s="20" t="s">
        <v>16</v>
      </c>
      <c r="K12" s="19" t="s">
        <v>19</v>
      </c>
      <c r="L12" s="20" t="s">
        <v>15</v>
      </c>
      <c r="M12" s="20" t="s">
        <v>16</v>
      </c>
      <c r="N12" s="19" t="s">
        <v>20</v>
      </c>
      <c r="O12" s="20" t="s">
        <v>15</v>
      </c>
      <c r="P12" s="20" t="s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21</v>
      </c>
      <c r="C13" s="22"/>
      <c r="D13" s="22" t="str">
        <f t="shared" ref="D13:D40" si="1">IF(C13="Sim",1,IF(C13="Não",0,IF(C13="Às vezes",0.5,"-")))</f>
        <v>-</v>
      </c>
      <c r="E13" s="21" t="s">
        <v>22</v>
      </c>
      <c r="F13" s="22"/>
      <c r="G13" s="22" t="str">
        <f t="shared" ref="G13:G22" si="2">IF(F13="Sim",1,IF(F13="Não",0,IF(F13="Às vezes",0.5,"-")))</f>
        <v>-</v>
      </c>
      <c r="H13" s="21" t="s">
        <v>23</v>
      </c>
      <c r="I13" s="22"/>
      <c r="J13" s="22" t="str">
        <f t="shared" ref="J13:J26" si="3">IF(I13="Sim",1,IF(I13="Não",0,IF(I13="Às vezes",0.5,"-")))</f>
        <v>-</v>
      </c>
      <c r="K13" s="21" t="s">
        <v>24</v>
      </c>
      <c r="L13" s="22"/>
      <c r="M13" s="22" t="str">
        <f t="shared" ref="M13:M25" si="4">IF(L13="Sim",1,IF(L13="Não",0,IF(L13="Às vezes",0.5,"-")))</f>
        <v>-</v>
      </c>
      <c r="N13" s="21" t="s">
        <v>25</v>
      </c>
      <c r="O13" s="22"/>
      <c r="P13" s="22" t="str">
        <f t="shared" ref="P13:P57" si="5">IF(O13="Sim",1,IF(O13="Não",0,IF(O13="Às vezes",0.5,"-")))</f>
        <v>-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 t="s">
        <v>26</v>
      </c>
      <c r="C14" s="22"/>
      <c r="D14" s="22" t="str">
        <f t="shared" si="1"/>
        <v>-</v>
      </c>
      <c r="E14" s="21" t="s">
        <v>27</v>
      </c>
      <c r="F14" s="22"/>
      <c r="G14" s="22" t="str">
        <f t="shared" si="2"/>
        <v>-</v>
      </c>
      <c r="H14" s="21" t="s">
        <v>28</v>
      </c>
      <c r="I14" s="22"/>
      <c r="J14" s="22" t="str">
        <f t="shared" si="3"/>
        <v>-</v>
      </c>
      <c r="K14" s="21" t="s">
        <v>29</v>
      </c>
      <c r="L14" s="22"/>
      <c r="M14" s="22" t="str">
        <f t="shared" si="4"/>
        <v>-</v>
      </c>
      <c r="N14" s="21" t="s">
        <v>30</v>
      </c>
      <c r="O14" s="22"/>
      <c r="P14" s="22" t="str">
        <f t="shared" si="5"/>
        <v>-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 t="s">
        <v>31</v>
      </c>
      <c r="C15" s="22"/>
      <c r="D15" s="22" t="str">
        <f t="shared" si="1"/>
        <v>-</v>
      </c>
      <c r="E15" s="21" t="s">
        <v>32</v>
      </c>
      <c r="F15" s="22"/>
      <c r="G15" s="22" t="str">
        <f t="shared" si="2"/>
        <v>-</v>
      </c>
      <c r="H15" s="21" t="s">
        <v>33</v>
      </c>
      <c r="I15" s="22"/>
      <c r="J15" s="22" t="str">
        <f t="shared" si="3"/>
        <v>-</v>
      </c>
      <c r="K15" s="21" t="s">
        <v>34</v>
      </c>
      <c r="L15" s="22"/>
      <c r="M15" s="22" t="str">
        <f t="shared" si="4"/>
        <v>-</v>
      </c>
      <c r="N15" s="21" t="s">
        <v>35</v>
      </c>
      <c r="O15" s="22"/>
      <c r="P15" s="22" t="str">
        <f t="shared" si="5"/>
        <v>-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1" t="s">
        <v>36</v>
      </c>
      <c r="C16" s="22"/>
      <c r="D16" s="22" t="str">
        <f t="shared" si="1"/>
        <v>-</v>
      </c>
      <c r="E16" s="21" t="s">
        <v>37</v>
      </c>
      <c r="F16" s="22"/>
      <c r="G16" s="22" t="str">
        <f t="shared" si="2"/>
        <v>-</v>
      </c>
      <c r="H16" s="21" t="s">
        <v>38</v>
      </c>
      <c r="I16" s="22"/>
      <c r="J16" s="22" t="str">
        <f t="shared" si="3"/>
        <v>-</v>
      </c>
      <c r="K16" s="21" t="s">
        <v>39</v>
      </c>
      <c r="L16" s="22"/>
      <c r="M16" s="22" t="str">
        <f t="shared" si="4"/>
        <v>-</v>
      </c>
      <c r="N16" s="21" t="s">
        <v>40</v>
      </c>
      <c r="O16" s="22"/>
      <c r="P16" s="22" t="str">
        <f t="shared" si="5"/>
        <v>-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" t="s">
        <v>41</v>
      </c>
      <c r="C17" s="22"/>
      <c r="D17" s="22" t="str">
        <f t="shared" si="1"/>
        <v>-</v>
      </c>
      <c r="E17" s="21" t="s">
        <v>42</v>
      </c>
      <c r="F17" s="22"/>
      <c r="G17" s="22" t="str">
        <f t="shared" si="2"/>
        <v>-</v>
      </c>
      <c r="H17" s="21" t="s">
        <v>43</v>
      </c>
      <c r="I17" s="22"/>
      <c r="J17" s="22" t="str">
        <f t="shared" si="3"/>
        <v>-</v>
      </c>
      <c r="K17" s="21" t="s">
        <v>44</v>
      </c>
      <c r="L17" s="22"/>
      <c r="M17" s="22" t="str">
        <f t="shared" si="4"/>
        <v>-</v>
      </c>
      <c r="N17" s="21" t="s">
        <v>45</v>
      </c>
      <c r="O17" s="22"/>
      <c r="P17" s="22" t="str">
        <f t="shared" si="5"/>
        <v>-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" t="s">
        <v>46</v>
      </c>
      <c r="C18" s="22"/>
      <c r="D18" s="22" t="str">
        <f t="shared" si="1"/>
        <v>-</v>
      </c>
      <c r="E18" s="21" t="s">
        <v>47</v>
      </c>
      <c r="F18" s="22"/>
      <c r="G18" s="22" t="str">
        <f t="shared" si="2"/>
        <v>-</v>
      </c>
      <c r="H18" s="21" t="s">
        <v>48</v>
      </c>
      <c r="I18" s="22"/>
      <c r="J18" s="22" t="str">
        <f t="shared" si="3"/>
        <v>-</v>
      </c>
      <c r="K18" s="21" t="s">
        <v>49</v>
      </c>
      <c r="L18" s="22"/>
      <c r="M18" s="22" t="str">
        <f t="shared" si="4"/>
        <v>-</v>
      </c>
      <c r="N18" s="21" t="s">
        <v>50</v>
      </c>
      <c r="O18" s="22"/>
      <c r="P18" s="22" t="str">
        <f t="shared" si="5"/>
        <v>-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1" t="s">
        <v>51</v>
      </c>
      <c r="C19" s="22"/>
      <c r="D19" s="22" t="str">
        <f t="shared" si="1"/>
        <v>-</v>
      </c>
      <c r="E19" s="21" t="s">
        <v>52</v>
      </c>
      <c r="F19" s="22"/>
      <c r="G19" s="22" t="str">
        <f t="shared" si="2"/>
        <v>-</v>
      </c>
      <c r="H19" s="21" t="s">
        <v>53</v>
      </c>
      <c r="I19" s="22"/>
      <c r="J19" s="22" t="str">
        <f t="shared" si="3"/>
        <v>-</v>
      </c>
      <c r="K19" s="21" t="s">
        <v>54</v>
      </c>
      <c r="L19" s="22"/>
      <c r="M19" s="22" t="str">
        <f t="shared" si="4"/>
        <v>-</v>
      </c>
      <c r="N19" s="21" t="s">
        <v>55</v>
      </c>
      <c r="O19" s="22"/>
      <c r="P19" s="22" t="str">
        <f t="shared" si="5"/>
        <v>-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 t="s">
        <v>56</v>
      </c>
      <c r="C20" s="22"/>
      <c r="D20" s="22" t="str">
        <f t="shared" si="1"/>
        <v>-</v>
      </c>
      <c r="E20" s="21" t="s">
        <v>57</v>
      </c>
      <c r="F20" s="22"/>
      <c r="G20" s="22" t="str">
        <f t="shared" si="2"/>
        <v>-</v>
      </c>
      <c r="H20" s="21" t="s">
        <v>58</v>
      </c>
      <c r="I20" s="22"/>
      <c r="J20" s="22" t="str">
        <f t="shared" si="3"/>
        <v>-</v>
      </c>
      <c r="K20" s="21" t="s">
        <v>59</v>
      </c>
      <c r="L20" s="22"/>
      <c r="M20" s="22" t="str">
        <f t="shared" si="4"/>
        <v>-</v>
      </c>
      <c r="N20" s="21" t="s">
        <v>60</v>
      </c>
      <c r="O20" s="22"/>
      <c r="P20" s="22" t="str">
        <f t="shared" si="5"/>
        <v>-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61</v>
      </c>
      <c r="C21" s="22"/>
      <c r="D21" s="22" t="str">
        <f t="shared" si="1"/>
        <v>-</v>
      </c>
      <c r="E21" s="21" t="s">
        <v>62</v>
      </c>
      <c r="F21" s="22"/>
      <c r="G21" s="22" t="str">
        <f t="shared" si="2"/>
        <v>-</v>
      </c>
      <c r="H21" s="21" t="s">
        <v>63</v>
      </c>
      <c r="I21" s="22"/>
      <c r="J21" s="22" t="str">
        <f t="shared" si="3"/>
        <v>-</v>
      </c>
      <c r="K21" s="21" t="s">
        <v>64</v>
      </c>
      <c r="L21" s="22"/>
      <c r="M21" s="22" t="str">
        <f t="shared" si="4"/>
        <v>-</v>
      </c>
      <c r="N21" s="21" t="s">
        <v>65</v>
      </c>
      <c r="O21" s="22"/>
      <c r="P21" s="22" t="str">
        <f t="shared" si="5"/>
        <v>-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1" t="s">
        <v>66</v>
      </c>
      <c r="C22" s="22"/>
      <c r="D22" s="22" t="str">
        <f t="shared" si="1"/>
        <v>-</v>
      </c>
      <c r="E22" s="21" t="s">
        <v>67</v>
      </c>
      <c r="F22" s="22"/>
      <c r="G22" s="22" t="str">
        <f t="shared" si="2"/>
        <v>-</v>
      </c>
      <c r="H22" s="21" t="s">
        <v>68</v>
      </c>
      <c r="I22" s="22"/>
      <c r="J22" s="22" t="str">
        <f t="shared" si="3"/>
        <v>-</v>
      </c>
      <c r="K22" s="21" t="s">
        <v>69</v>
      </c>
      <c r="L22" s="22"/>
      <c r="M22" s="22" t="str">
        <f t="shared" si="4"/>
        <v>-</v>
      </c>
      <c r="N22" s="21" t="s">
        <v>70</v>
      </c>
      <c r="O22" s="22"/>
      <c r="P22" s="22" t="str">
        <f t="shared" si="5"/>
        <v>-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8.5" customHeight="1">
      <c r="A23" s="1"/>
      <c r="B23" s="21" t="s">
        <v>71</v>
      </c>
      <c r="C23" s="22"/>
      <c r="D23" s="22" t="str">
        <f t="shared" si="1"/>
        <v>-</v>
      </c>
      <c r="E23" s="23" t="s">
        <v>72</v>
      </c>
      <c r="F23" s="16">
        <f>SUM(G13:G22)</f>
        <v>0</v>
      </c>
      <c r="G23" s="18"/>
      <c r="H23" s="21" t="s">
        <v>73</v>
      </c>
      <c r="I23" s="22"/>
      <c r="J23" s="22" t="str">
        <f t="shared" si="3"/>
        <v>-</v>
      </c>
      <c r="K23" s="21" t="s">
        <v>74</v>
      </c>
      <c r="L23" s="22"/>
      <c r="M23" s="22" t="str">
        <f t="shared" si="4"/>
        <v>-</v>
      </c>
      <c r="N23" s="21" t="s">
        <v>75</v>
      </c>
      <c r="O23" s="22"/>
      <c r="P23" s="22" t="str">
        <f t="shared" si="5"/>
        <v>-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1"/>
      <c r="B24" s="21" t="s">
        <v>76</v>
      </c>
      <c r="C24" s="22"/>
      <c r="D24" s="22" t="str">
        <f t="shared" si="1"/>
        <v>-</v>
      </c>
      <c r="E24" s="24" t="s">
        <v>77</v>
      </c>
      <c r="F24" s="17"/>
      <c r="G24" s="18"/>
      <c r="H24" s="21" t="s">
        <v>78</v>
      </c>
      <c r="I24" s="22"/>
      <c r="J24" s="22" t="str">
        <f t="shared" si="3"/>
        <v>-</v>
      </c>
      <c r="K24" s="21" t="s">
        <v>79</v>
      </c>
      <c r="L24" s="22"/>
      <c r="M24" s="22" t="str">
        <f t="shared" si="4"/>
        <v>-</v>
      </c>
      <c r="N24" s="21" t="s">
        <v>80</v>
      </c>
      <c r="O24" s="22"/>
      <c r="P24" s="22" t="str">
        <f t="shared" si="5"/>
        <v>-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1" t="s">
        <v>81</v>
      </c>
      <c r="C25" s="22"/>
      <c r="D25" s="22" t="str">
        <f t="shared" si="1"/>
        <v>-</v>
      </c>
      <c r="E25" s="21" t="s">
        <v>82</v>
      </c>
      <c r="F25" s="22"/>
      <c r="G25" s="22" t="str">
        <f t="shared" ref="G25:G42" si="6">IF(F25="Sim",1,IF(F25="Não",0,IF(F25="Às vezes",0.5,"-")))</f>
        <v>-</v>
      </c>
      <c r="H25" s="21" t="s">
        <v>83</v>
      </c>
      <c r="I25" s="22"/>
      <c r="J25" s="22" t="str">
        <f t="shared" si="3"/>
        <v>-</v>
      </c>
      <c r="K25" s="21" t="s">
        <v>84</v>
      </c>
      <c r="L25" s="22"/>
      <c r="M25" s="22" t="str">
        <f t="shared" si="4"/>
        <v>-</v>
      </c>
      <c r="N25" s="21" t="s">
        <v>85</v>
      </c>
      <c r="O25" s="22"/>
      <c r="P25" s="22" t="str">
        <f t="shared" si="5"/>
        <v>-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21" t="s">
        <v>86</v>
      </c>
      <c r="C26" s="22"/>
      <c r="D26" s="22" t="str">
        <f t="shared" si="1"/>
        <v>-</v>
      </c>
      <c r="E26" s="21" t="s">
        <v>87</v>
      </c>
      <c r="F26" s="22"/>
      <c r="G26" s="22" t="str">
        <f t="shared" si="6"/>
        <v>-</v>
      </c>
      <c r="H26" s="21" t="s">
        <v>88</v>
      </c>
      <c r="I26" s="22"/>
      <c r="J26" s="22" t="str">
        <f t="shared" si="3"/>
        <v>-</v>
      </c>
      <c r="K26" s="23" t="s">
        <v>72</v>
      </c>
      <c r="L26" s="16">
        <f>SUM(M13:M25)</f>
        <v>0</v>
      </c>
      <c r="M26" s="18"/>
      <c r="N26" s="21" t="s">
        <v>89</v>
      </c>
      <c r="O26" s="22"/>
      <c r="P26" s="22" t="str">
        <f t="shared" si="5"/>
        <v>-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21" t="s">
        <v>90</v>
      </c>
      <c r="C27" s="22"/>
      <c r="D27" s="22" t="str">
        <f t="shared" si="1"/>
        <v>-</v>
      </c>
      <c r="E27" s="21" t="s">
        <v>91</v>
      </c>
      <c r="F27" s="22"/>
      <c r="G27" s="22" t="str">
        <f t="shared" si="6"/>
        <v>-</v>
      </c>
      <c r="H27" s="23" t="s">
        <v>72</v>
      </c>
      <c r="I27" s="16">
        <f>SUM(J13:J26)</f>
        <v>0</v>
      </c>
      <c r="J27" s="18"/>
      <c r="K27" s="24" t="s">
        <v>92</v>
      </c>
      <c r="L27" s="17"/>
      <c r="M27" s="18"/>
      <c r="N27" s="21" t="s">
        <v>93</v>
      </c>
      <c r="O27" s="22"/>
      <c r="P27" s="22" t="str">
        <f t="shared" si="5"/>
        <v>-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1" t="s">
        <v>94</v>
      </c>
      <c r="C28" s="22"/>
      <c r="D28" s="22" t="str">
        <f t="shared" si="1"/>
        <v>-</v>
      </c>
      <c r="E28" s="21" t="s">
        <v>95</v>
      </c>
      <c r="F28" s="22"/>
      <c r="G28" s="22" t="str">
        <f t="shared" si="6"/>
        <v>-</v>
      </c>
      <c r="H28" s="24" t="s">
        <v>96</v>
      </c>
      <c r="I28" s="17"/>
      <c r="J28" s="18"/>
      <c r="K28" s="21" t="s">
        <v>97</v>
      </c>
      <c r="L28" s="22"/>
      <c r="M28" s="22" t="str">
        <f t="shared" ref="M28:M39" si="7">IF(L28="Sim",1,IF(L28="Não",0,IF(L28="Às vezes",0.5,"-")))</f>
        <v>-</v>
      </c>
      <c r="N28" s="21" t="s">
        <v>98</v>
      </c>
      <c r="O28" s="22"/>
      <c r="P28" s="22" t="str">
        <f t="shared" si="5"/>
        <v>-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1" t="s">
        <v>99</v>
      </c>
      <c r="C29" s="22"/>
      <c r="D29" s="22" t="str">
        <f t="shared" si="1"/>
        <v>-</v>
      </c>
      <c r="E29" s="21" t="s">
        <v>100</v>
      </c>
      <c r="F29" s="22"/>
      <c r="G29" s="22" t="str">
        <f t="shared" si="6"/>
        <v>-</v>
      </c>
      <c r="H29" s="21" t="s">
        <v>101</v>
      </c>
      <c r="I29" s="22"/>
      <c r="J29" s="22" t="str">
        <f t="shared" ref="J29:J38" si="8">IF(I29="Sim",1,IF(I29="Não",0,IF(I29="Às vezes",0.5,"-")))</f>
        <v>-</v>
      </c>
      <c r="K29" s="21" t="s">
        <v>102</v>
      </c>
      <c r="L29" s="22"/>
      <c r="M29" s="22" t="str">
        <f t="shared" si="7"/>
        <v>-</v>
      </c>
      <c r="N29" s="21" t="s">
        <v>103</v>
      </c>
      <c r="O29" s="22"/>
      <c r="P29" s="22" t="str">
        <f t="shared" si="5"/>
        <v>-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1" t="s">
        <v>104</v>
      </c>
      <c r="C30" s="22"/>
      <c r="D30" s="22" t="str">
        <f t="shared" si="1"/>
        <v>-</v>
      </c>
      <c r="E30" s="21" t="s">
        <v>105</v>
      </c>
      <c r="F30" s="22"/>
      <c r="G30" s="22" t="str">
        <f t="shared" si="6"/>
        <v>-</v>
      </c>
      <c r="H30" s="21" t="s">
        <v>106</v>
      </c>
      <c r="I30" s="22"/>
      <c r="J30" s="22" t="str">
        <f t="shared" si="8"/>
        <v>-</v>
      </c>
      <c r="K30" s="21" t="s">
        <v>107</v>
      </c>
      <c r="L30" s="22"/>
      <c r="M30" s="22" t="str">
        <f t="shared" si="7"/>
        <v>-</v>
      </c>
      <c r="N30" s="21" t="s">
        <v>108</v>
      </c>
      <c r="O30" s="22"/>
      <c r="P30" s="22" t="str">
        <f t="shared" si="5"/>
        <v>-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1" t="s">
        <v>109</v>
      </c>
      <c r="C31" s="22"/>
      <c r="D31" s="22" t="str">
        <f t="shared" si="1"/>
        <v>-</v>
      </c>
      <c r="E31" s="21" t="s">
        <v>110</v>
      </c>
      <c r="F31" s="22"/>
      <c r="G31" s="22" t="str">
        <f t="shared" si="6"/>
        <v>-</v>
      </c>
      <c r="H31" s="21" t="s">
        <v>111</v>
      </c>
      <c r="I31" s="22"/>
      <c r="J31" s="22" t="str">
        <f t="shared" si="8"/>
        <v>-</v>
      </c>
      <c r="K31" s="21" t="s">
        <v>112</v>
      </c>
      <c r="L31" s="22"/>
      <c r="M31" s="22" t="str">
        <f t="shared" si="7"/>
        <v>-</v>
      </c>
      <c r="N31" s="21" t="s">
        <v>113</v>
      </c>
      <c r="O31" s="22"/>
      <c r="P31" s="22" t="str">
        <f t="shared" si="5"/>
        <v>-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1" t="s">
        <v>114</v>
      </c>
      <c r="C32" s="22"/>
      <c r="D32" s="22" t="str">
        <f t="shared" si="1"/>
        <v>-</v>
      </c>
      <c r="E32" s="21" t="s">
        <v>115</v>
      </c>
      <c r="F32" s="22"/>
      <c r="G32" s="22" t="str">
        <f t="shared" si="6"/>
        <v>-</v>
      </c>
      <c r="H32" s="21" t="s">
        <v>116</v>
      </c>
      <c r="I32" s="22"/>
      <c r="J32" s="22" t="str">
        <f t="shared" si="8"/>
        <v>-</v>
      </c>
      <c r="K32" s="21" t="s">
        <v>117</v>
      </c>
      <c r="L32" s="22"/>
      <c r="M32" s="22" t="str">
        <f t="shared" si="7"/>
        <v>-</v>
      </c>
      <c r="N32" s="21" t="s">
        <v>118</v>
      </c>
      <c r="O32" s="22"/>
      <c r="P32" s="22" t="str">
        <f t="shared" si="5"/>
        <v>-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1" t="s">
        <v>119</v>
      </c>
      <c r="C33" s="22"/>
      <c r="D33" s="22" t="str">
        <f t="shared" si="1"/>
        <v>-</v>
      </c>
      <c r="E33" s="21" t="s">
        <v>120</v>
      </c>
      <c r="F33" s="22"/>
      <c r="G33" s="22" t="str">
        <f t="shared" si="6"/>
        <v>-</v>
      </c>
      <c r="H33" s="21" t="s">
        <v>121</v>
      </c>
      <c r="I33" s="22"/>
      <c r="J33" s="22" t="str">
        <f t="shared" si="8"/>
        <v>-</v>
      </c>
      <c r="K33" s="21" t="s">
        <v>122</v>
      </c>
      <c r="L33" s="22"/>
      <c r="M33" s="22" t="str">
        <f t="shared" si="7"/>
        <v>-</v>
      </c>
      <c r="N33" s="21" t="s">
        <v>123</v>
      </c>
      <c r="O33" s="22"/>
      <c r="P33" s="22" t="str">
        <f t="shared" si="5"/>
        <v>-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1" t="s">
        <v>124</v>
      </c>
      <c r="C34" s="22"/>
      <c r="D34" s="22" t="str">
        <f t="shared" si="1"/>
        <v>-</v>
      </c>
      <c r="E34" s="21" t="s">
        <v>125</v>
      </c>
      <c r="F34" s="22"/>
      <c r="G34" s="22" t="str">
        <f t="shared" si="6"/>
        <v>-</v>
      </c>
      <c r="H34" s="21" t="s">
        <v>126</v>
      </c>
      <c r="I34" s="22"/>
      <c r="J34" s="22" t="str">
        <f t="shared" si="8"/>
        <v>-</v>
      </c>
      <c r="K34" s="21" t="s">
        <v>127</v>
      </c>
      <c r="L34" s="22"/>
      <c r="M34" s="22" t="str">
        <f t="shared" si="7"/>
        <v>-</v>
      </c>
      <c r="N34" s="21" t="s">
        <v>128</v>
      </c>
      <c r="O34" s="22"/>
      <c r="P34" s="22" t="str">
        <f t="shared" si="5"/>
        <v>-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1" t="s">
        <v>129</v>
      </c>
      <c r="C35" s="22"/>
      <c r="D35" s="22" t="str">
        <f t="shared" si="1"/>
        <v>-</v>
      </c>
      <c r="E35" s="21" t="s">
        <v>130</v>
      </c>
      <c r="F35" s="22"/>
      <c r="G35" s="22" t="str">
        <f t="shared" si="6"/>
        <v>-</v>
      </c>
      <c r="H35" s="21" t="s">
        <v>131</v>
      </c>
      <c r="I35" s="22"/>
      <c r="J35" s="22" t="str">
        <f t="shared" si="8"/>
        <v>-</v>
      </c>
      <c r="K35" s="21" t="s">
        <v>132</v>
      </c>
      <c r="L35" s="22"/>
      <c r="M35" s="22" t="str">
        <f t="shared" si="7"/>
        <v>-</v>
      </c>
      <c r="N35" s="21" t="s">
        <v>133</v>
      </c>
      <c r="O35" s="22"/>
      <c r="P35" s="22" t="str">
        <f t="shared" si="5"/>
        <v>-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1" t="s">
        <v>134</v>
      </c>
      <c r="C36" s="22"/>
      <c r="D36" s="22" t="str">
        <f t="shared" si="1"/>
        <v>-</v>
      </c>
      <c r="E36" s="21" t="s">
        <v>135</v>
      </c>
      <c r="F36" s="22"/>
      <c r="G36" s="22" t="str">
        <f t="shared" si="6"/>
        <v>-</v>
      </c>
      <c r="H36" s="21" t="s">
        <v>136</v>
      </c>
      <c r="I36" s="22"/>
      <c r="J36" s="22" t="str">
        <f t="shared" si="8"/>
        <v>-</v>
      </c>
      <c r="K36" s="21" t="s">
        <v>137</v>
      </c>
      <c r="L36" s="22"/>
      <c r="M36" s="22" t="str">
        <f t="shared" si="7"/>
        <v>-</v>
      </c>
      <c r="N36" s="21" t="s">
        <v>138</v>
      </c>
      <c r="O36" s="22"/>
      <c r="P36" s="22" t="str">
        <f t="shared" si="5"/>
        <v>-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 t="s">
        <v>139</v>
      </c>
      <c r="C37" s="22"/>
      <c r="D37" s="22" t="str">
        <f t="shared" si="1"/>
        <v>-</v>
      </c>
      <c r="E37" s="21" t="s">
        <v>140</v>
      </c>
      <c r="F37" s="22"/>
      <c r="G37" s="22" t="str">
        <f t="shared" si="6"/>
        <v>-</v>
      </c>
      <c r="H37" s="21" t="s">
        <v>141</v>
      </c>
      <c r="I37" s="22"/>
      <c r="J37" s="22" t="str">
        <f t="shared" si="8"/>
        <v>-</v>
      </c>
      <c r="K37" s="21" t="s">
        <v>142</v>
      </c>
      <c r="L37" s="22"/>
      <c r="M37" s="22" t="str">
        <f t="shared" si="7"/>
        <v>-</v>
      </c>
      <c r="N37" s="21" t="s">
        <v>143</v>
      </c>
      <c r="O37" s="22"/>
      <c r="P37" s="22" t="str">
        <f t="shared" si="5"/>
        <v>-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1" t="s">
        <v>144</v>
      </c>
      <c r="C38" s="22"/>
      <c r="D38" s="22" t="str">
        <f t="shared" si="1"/>
        <v>-</v>
      </c>
      <c r="E38" s="21" t="s">
        <v>145</v>
      </c>
      <c r="F38" s="22"/>
      <c r="G38" s="22" t="str">
        <f t="shared" si="6"/>
        <v>-</v>
      </c>
      <c r="H38" s="21" t="s">
        <v>146</v>
      </c>
      <c r="I38" s="22"/>
      <c r="J38" s="22" t="str">
        <f t="shared" si="8"/>
        <v>-</v>
      </c>
      <c r="K38" s="21" t="s">
        <v>147</v>
      </c>
      <c r="L38" s="22"/>
      <c r="M38" s="22" t="str">
        <f t="shared" si="7"/>
        <v>-</v>
      </c>
      <c r="N38" s="21" t="s">
        <v>148</v>
      </c>
      <c r="O38" s="22"/>
      <c r="P38" s="22" t="str">
        <f t="shared" si="5"/>
        <v>-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149</v>
      </c>
      <c r="C39" s="22"/>
      <c r="D39" s="22" t="str">
        <f t="shared" si="1"/>
        <v>-</v>
      </c>
      <c r="E39" s="21" t="s">
        <v>150</v>
      </c>
      <c r="F39" s="22"/>
      <c r="G39" s="22" t="str">
        <f t="shared" si="6"/>
        <v>-</v>
      </c>
      <c r="H39" s="23" t="s">
        <v>72</v>
      </c>
      <c r="I39" s="16">
        <f>SUM(J29:J38)</f>
        <v>0</v>
      </c>
      <c r="J39" s="18"/>
      <c r="K39" s="21" t="s">
        <v>151</v>
      </c>
      <c r="L39" s="22"/>
      <c r="M39" s="22" t="str">
        <f t="shared" si="7"/>
        <v>-</v>
      </c>
      <c r="N39" s="21" t="s">
        <v>152</v>
      </c>
      <c r="O39" s="22"/>
      <c r="P39" s="22" t="str">
        <f t="shared" si="5"/>
        <v>-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6.25" customHeight="1">
      <c r="A40" s="1"/>
      <c r="B40" s="21" t="s">
        <v>153</v>
      </c>
      <c r="C40" s="22"/>
      <c r="D40" s="22" t="str">
        <f t="shared" si="1"/>
        <v>-</v>
      </c>
      <c r="E40" s="21" t="s">
        <v>154</v>
      </c>
      <c r="F40" s="22"/>
      <c r="G40" s="22" t="str">
        <f t="shared" si="6"/>
        <v>-</v>
      </c>
      <c r="H40" s="24" t="s">
        <v>155</v>
      </c>
      <c r="I40" s="17"/>
      <c r="J40" s="18"/>
      <c r="K40" s="23" t="s">
        <v>72</v>
      </c>
      <c r="L40" s="16">
        <f>SUM(M28:M39)</f>
        <v>0</v>
      </c>
      <c r="M40" s="18"/>
      <c r="N40" s="21" t="s">
        <v>156</v>
      </c>
      <c r="O40" s="22"/>
      <c r="P40" s="22" t="str">
        <f t="shared" si="5"/>
        <v>-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23" t="s">
        <v>72</v>
      </c>
      <c r="C41" s="16">
        <f>SUM(D13:D40)</f>
        <v>0</v>
      </c>
      <c r="D41" s="18"/>
      <c r="E41" s="21" t="s">
        <v>157</v>
      </c>
      <c r="F41" s="22"/>
      <c r="G41" s="22" t="str">
        <f t="shared" si="6"/>
        <v>-</v>
      </c>
      <c r="H41" s="21" t="s">
        <v>158</v>
      </c>
      <c r="I41" s="22"/>
      <c r="J41" s="22" t="str">
        <f t="shared" ref="J41:J56" si="9">IF(I41="Sim",1,IF(I41="Não",0,IF(I41="Às vezes",0.5,"-")))</f>
        <v>-</v>
      </c>
      <c r="K41" s="24" t="s">
        <v>159</v>
      </c>
      <c r="L41" s="17"/>
      <c r="M41" s="18"/>
      <c r="N41" s="21" t="s">
        <v>160</v>
      </c>
      <c r="O41" s="22"/>
      <c r="P41" s="22" t="str">
        <f t="shared" si="5"/>
        <v>-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9" t="s">
        <v>161</v>
      </c>
      <c r="C42" s="20" t="s">
        <v>15</v>
      </c>
      <c r="D42" s="20" t="s">
        <v>16</v>
      </c>
      <c r="E42" s="21" t="s">
        <v>162</v>
      </c>
      <c r="F42" s="22"/>
      <c r="G42" s="22" t="str">
        <f t="shared" si="6"/>
        <v>-</v>
      </c>
      <c r="H42" s="21" t="s">
        <v>163</v>
      </c>
      <c r="I42" s="22"/>
      <c r="J42" s="22" t="str">
        <f t="shared" si="9"/>
        <v>-</v>
      </c>
      <c r="K42" s="21" t="s">
        <v>164</v>
      </c>
      <c r="L42" s="25" t="s">
        <v>165</v>
      </c>
      <c r="M42" s="22">
        <f t="shared" ref="M42:M68" si="10">IF(L42="Sim",1,IF(L42="Não",0,IF(L42="Às vezes",0.5,"-")))</f>
        <v>1</v>
      </c>
      <c r="N42" s="21" t="s">
        <v>166</v>
      </c>
      <c r="O42" s="22"/>
      <c r="P42" s="22" t="str">
        <f t="shared" si="5"/>
        <v>-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6.25" customHeight="1">
      <c r="A43" s="1"/>
      <c r="B43" s="21" t="s">
        <v>167</v>
      </c>
      <c r="C43" s="22"/>
      <c r="D43" s="22" t="str">
        <f t="shared" ref="D43:D57" si="11">IF(C43="Sim",1,IF(C43="Não",0,IF(C43="Às vezes",0.5,"-")))</f>
        <v>-</v>
      </c>
      <c r="E43" s="23" t="s">
        <v>72</v>
      </c>
      <c r="F43" s="16">
        <f>SUM(G25:G42)</f>
        <v>0</v>
      </c>
      <c r="G43" s="18"/>
      <c r="H43" s="21" t="s">
        <v>168</v>
      </c>
      <c r="I43" s="22"/>
      <c r="J43" s="22" t="str">
        <f t="shared" si="9"/>
        <v>-</v>
      </c>
      <c r="K43" s="21" t="s">
        <v>169</v>
      </c>
      <c r="L43" s="25" t="s">
        <v>165</v>
      </c>
      <c r="M43" s="22">
        <f t="shared" si="10"/>
        <v>1</v>
      </c>
      <c r="N43" s="21" t="s">
        <v>170</v>
      </c>
      <c r="O43" s="22"/>
      <c r="P43" s="22" t="str">
        <f t="shared" si="5"/>
        <v>-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1" t="s">
        <v>171</v>
      </c>
      <c r="C44" s="22"/>
      <c r="D44" s="22" t="str">
        <f t="shared" si="11"/>
        <v>-</v>
      </c>
      <c r="E44" s="24" t="s">
        <v>172</v>
      </c>
      <c r="F44" s="17"/>
      <c r="G44" s="18"/>
      <c r="H44" s="21" t="s">
        <v>173</v>
      </c>
      <c r="I44" s="22"/>
      <c r="J44" s="22" t="str">
        <f t="shared" si="9"/>
        <v>-</v>
      </c>
      <c r="K44" s="21" t="s">
        <v>174</v>
      </c>
      <c r="L44" s="25" t="s">
        <v>165</v>
      </c>
      <c r="M44" s="22">
        <f t="shared" si="10"/>
        <v>1</v>
      </c>
      <c r="N44" s="21" t="s">
        <v>175</v>
      </c>
      <c r="O44" s="22"/>
      <c r="P44" s="22" t="str">
        <f t="shared" si="5"/>
        <v>-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1" t="s">
        <v>176</v>
      </c>
      <c r="C45" s="22"/>
      <c r="D45" s="22" t="str">
        <f t="shared" si="11"/>
        <v>-</v>
      </c>
      <c r="E45" s="21" t="s">
        <v>177</v>
      </c>
      <c r="F45" s="22"/>
      <c r="G45" s="22" t="str">
        <f t="shared" ref="G45:G74" si="12">IF(F45="Sim",1,IF(F45="Não",0,IF(F45="Às vezes",0.5,"-")))</f>
        <v>-</v>
      </c>
      <c r="H45" s="21" t="s">
        <v>178</v>
      </c>
      <c r="I45" s="22"/>
      <c r="J45" s="22" t="str">
        <f t="shared" si="9"/>
        <v>-</v>
      </c>
      <c r="K45" s="21" t="s">
        <v>179</v>
      </c>
      <c r="L45" s="25" t="s">
        <v>165</v>
      </c>
      <c r="M45" s="22">
        <f t="shared" si="10"/>
        <v>1</v>
      </c>
      <c r="N45" s="21" t="s">
        <v>180</v>
      </c>
      <c r="O45" s="22"/>
      <c r="P45" s="22" t="str">
        <f t="shared" si="5"/>
        <v>-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1" t="s">
        <v>181</v>
      </c>
      <c r="C46" s="22"/>
      <c r="D46" s="22" t="str">
        <f t="shared" si="11"/>
        <v>-</v>
      </c>
      <c r="E46" s="21" t="s">
        <v>182</v>
      </c>
      <c r="F46" s="22"/>
      <c r="G46" s="22" t="str">
        <f t="shared" si="12"/>
        <v>-</v>
      </c>
      <c r="H46" s="21" t="s">
        <v>183</v>
      </c>
      <c r="I46" s="22"/>
      <c r="J46" s="22" t="str">
        <f t="shared" si="9"/>
        <v>-</v>
      </c>
      <c r="K46" s="21" t="s">
        <v>184</v>
      </c>
      <c r="L46" s="25" t="s">
        <v>165</v>
      </c>
      <c r="M46" s="22">
        <f t="shared" si="10"/>
        <v>1</v>
      </c>
      <c r="N46" s="21" t="s">
        <v>185</v>
      </c>
      <c r="O46" s="22"/>
      <c r="P46" s="22" t="str">
        <f t="shared" si="5"/>
        <v>-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1" t="s">
        <v>186</v>
      </c>
      <c r="C47" s="22"/>
      <c r="D47" s="22" t="str">
        <f t="shared" si="11"/>
        <v>-</v>
      </c>
      <c r="E47" s="21" t="s">
        <v>187</v>
      </c>
      <c r="F47" s="22"/>
      <c r="G47" s="22" t="str">
        <f t="shared" si="12"/>
        <v>-</v>
      </c>
      <c r="H47" s="21" t="s">
        <v>188</v>
      </c>
      <c r="I47" s="22"/>
      <c r="J47" s="22" t="str">
        <f t="shared" si="9"/>
        <v>-</v>
      </c>
      <c r="K47" s="21" t="s">
        <v>189</v>
      </c>
      <c r="L47" s="25" t="s">
        <v>165</v>
      </c>
      <c r="M47" s="22">
        <f t="shared" si="10"/>
        <v>1</v>
      </c>
      <c r="N47" s="21" t="s">
        <v>190</v>
      </c>
      <c r="O47" s="22"/>
      <c r="P47" s="22" t="str">
        <f t="shared" si="5"/>
        <v>-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1" t="s">
        <v>191</v>
      </c>
      <c r="C48" s="22"/>
      <c r="D48" s="22" t="str">
        <f t="shared" si="11"/>
        <v>-</v>
      </c>
      <c r="E48" s="21" t="s">
        <v>192</v>
      </c>
      <c r="F48" s="22"/>
      <c r="G48" s="22" t="str">
        <f t="shared" si="12"/>
        <v>-</v>
      </c>
      <c r="H48" s="21" t="s">
        <v>193</v>
      </c>
      <c r="I48" s="22"/>
      <c r="J48" s="22" t="str">
        <f t="shared" si="9"/>
        <v>-</v>
      </c>
      <c r="K48" s="21" t="s">
        <v>194</v>
      </c>
      <c r="L48" s="25" t="s">
        <v>165</v>
      </c>
      <c r="M48" s="22">
        <f t="shared" si="10"/>
        <v>1</v>
      </c>
      <c r="N48" s="21" t="s">
        <v>195</v>
      </c>
      <c r="O48" s="22"/>
      <c r="P48" s="22" t="str">
        <f t="shared" si="5"/>
        <v>-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1" t="s">
        <v>196</v>
      </c>
      <c r="C49" s="22"/>
      <c r="D49" s="22" t="str">
        <f t="shared" si="11"/>
        <v>-</v>
      </c>
      <c r="E49" s="21" t="s">
        <v>197</v>
      </c>
      <c r="F49" s="22"/>
      <c r="G49" s="22" t="str">
        <f t="shared" si="12"/>
        <v>-</v>
      </c>
      <c r="H49" s="21" t="s">
        <v>198</v>
      </c>
      <c r="I49" s="22"/>
      <c r="J49" s="22" t="str">
        <f t="shared" si="9"/>
        <v>-</v>
      </c>
      <c r="K49" s="21" t="s">
        <v>199</v>
      </c>
      <c r="L49" s="25" t="s">
        <v>165</v>
      </c>
      <c r="M49" s="22">
        <f t="shared" si="10"/>
        <v>1</v>
      </c>
      <c r="N49" s="21" t="s">
        <v>200</v>
      </c>
      <c r="O49" s="22"/>
      <c r="P49" s="22" t="str">
        <f t="shared" si="5"/>
        <v>-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1" t="s">
        <v>201</v>
      </c>
      <c r="C50" s="22"/>
      <c r="D50" s="22" t="str">
        <f t="shared" si="11"/>
        <v>-</v>
      </c>
      <c r="E50" s="21" t="s">
        <v>202</v>
      </c>
      <c r="F50" s="22"/>
      <c r="G50" s="22" t="str">
        <f t="shared" si="12"/>
        <v>-</v>
      </c>
      <c r="H50" s="21" t="s">
        <v>203</v>
      </c>
      <c r="I50" s="22"/>
      <c r="J50" s="22" t="str">
        <f t="shared" si="9"/>
        <v>-</v>
      </c>
      <c r="K50" s="21" t="s">
        <v>204</v>
      </c>
      <c r="L50" s="25" t="s">
        <v>205</v>
      </c>
      <c r="M50" s="22">
        <f t="shared" si="10"/>
        <v>0</v>
      </c>
      <c r="N50" s="21" t="s">
        <v>206</v>
      </c>
      <c r="O50" s="22"/>
      <c r="P50" s="22" t="str">
        <f t="shared" si="5"/>
        <v>-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1" t="s">
        <v>207</v>
      </c>
      <c r="C51" s="22"/>
      <c r="D51" s="22" t="str">
        <f t="shared" si="11"/>
        <v>-</v>
      </c>
      <c r="E51" s="21" t="s">
        <v>208</v>
      </c>
      <c r="F51" s="22"/>
      <c r="G51" s="22" t="str">
        <f t="shared" si="12"/>
        <v>-</v>
      </c>
      <c r="H51" s="21" t="s">
        <v>209</v>
      </c>
      <c r="I51" s="22"/>
      <c r="J51" s="22" t="str">
        <f t="shared" si="9"/>
        <v>-</v>
      </c>
      <c r="K51" s="21" t="s">
        <v>210</v>
      </c>
      <c r="L51" s="25" t="s">
        <v>165</v>
      </c>
      <c r="M51" s="22">
        <f t="shared" si="10"/>
        <v>1</v>
      </c>
      <c r="N51" s="21" t="s">
        <v>211</v>
      </c>
      <c r="O51" s="22"/>
      <c r="P51" s="22" t="str">
        <f t="shared" si="5"/>
        <v>-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1" t="s">
        <v>212</v>
      </c>
      <c r="C52" s="22"/>
      <c r="D52" s="22" t="str">
        <f t="shared" si="11"/>
        <v>-</v>
      </c>
      <c r="E52" s="21" t="s">
        <v>213</v>
      </c>
      <c r="F52" s="22"/>
      <c r="G52" s="22" t="str">
        <f t="shared" si="12"/>
        <v>-</v>
      </c>
      <c r="H52" s="21" t="s">
        <v>214</v>
      </c>
      <c r="I52" s="22"/>
      <c r="J52" s="22" t="str">
        <f t="shared" si="9"/>
        <v>-</v>
      </c>
      <c r="K52" s="21" t="s">
        <v>215</v>
      </c>
      <c r="L52" s="25" t="s">
        <v>165</v>
      </c>
      <c r="M52" s="22">
        <f t="shared" si="10"/>
        <v>1</v>
      </c>
      <c r="N52" s="21" t="s">
        <v>216</v>
      </c>
      <c r="O52" s="22"/>
      <c r="P52" s="22" t="str">
        <f t="shared" si="5"/>
        <v>-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1" t="s">
        <v>217</v>
      </c>
      <c r="C53" s="22"/>
      <c r="D53" s="22" t="str">
        <f t="shared" si="11"/>
        <v>-</v>
      </c>
      <c r="E53" s="21" t="s">
        <v>218</v>
      </c>
      <c r="F53" s="22"/>
      <c r="G53" s="22" t="str">
        <f t="shared" si="12"/>
        <v>-</v>
      </c>
      <c r="H53" s="21" t="s">
        <v>219</v>
      </c>
      <c r="I53" s="22"/>
      <c r="J53" s="22" t="str">
        <f t="shared" si="9"/>
        <v>-</v>
      </c>
      <c r="K53" s="21" t="s">
        <v>220</v>
      </c>
      <c r="L53" s="25" t="s">
        <v>165</v>
      </c>
      <c r="M53" s="22">
        <f t="shared" si="10"/>
        <v>1</v>
      </c>
      <c r="N53" s="21" t="s">
        <v>221</v>
      </c>
      <c r="O53" s="22"/>
      <c r="P53" s="22" t="str">
        <f t="shared" si="5"/>
        <v>-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1" t="s">
        <v>222</v>
      </c>
      <c r="C54" s="22"/>
      <c r="D54" s="22" t="str">
        <f t="shared" si="11"/>
        <v>-</v>
      </c>
      <c r="E54" s="21" t="s">
        <v>223</v>
      </c>
      <c r="F54" s="22"/>
      <c r="G54" s="22" t="str">
        <f t="shared" si="12"/>
        <v>-</v>
      </c>
      <c r="H54" s="21" t="s">
        <v>224</v>
      </c>
      <c r="I54" s="22"/>
      <c r="J54" s="22" t="str">
        <f t="shared" si="9"/>
        <v>-</v>
      </c>
      <c r="K54" s="21" t="s">
        <v>225</v>
      </c>
      <c r="L54" s="25" t="s">
        <v>205</v>
      </c>
      <c r="M54" s="22">
        <f t="shared" si="10"/>
        <v>0</v>
      </c>
      <c r="N54" s="21" t="s">
        <v>226</v>
      </c>
      <c r="O54" s="22"/>
      <c r="P54" s="22" t="str">
        <f t="shared" si="5"/>
        <v>-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1" t="s">
        <v>227</v>
      </c>
      <c r="C55" s="22"/>
      <c r="D55" s="22" t="str">
        <f t="shared" si="11"/>
        <v>-</v>
      </c>
      <c r="E55" s="21" t="s">
        <v>228</v>
      </c>
      <c r="F55" s="22"/>
      <c r="G55" s="22" t="str">
        <f t="shared" si="12"/>
        <v>-</v>
      </c>
      <c r="H55" s="21" t="s">
        <v>229</v>
      </c>
      <c r="I55" s="22"/>
      <c r="J55" s="22" t="str">
        <f t="shared" si="9"/>
        <v>-</v>
      </c>
      <c r="K55" s="21" t="s">
        <v>230</v>
      </c>
      <c r="L55" s="25" t="s">
        <v>165</v>
      </c>
      <c r="M55" s="22">
        <f t="shared" si="10"/>
        <v>1</v>
      </c>
      <c r="N55" s="21" t="s">
        <v>231</v>
      </c>
      <c r="O55" s="22"/>
      <c r="P55" s="22" t="str">
        <f t="shared" si="5"/>
        <v>-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1" t="s">
        <v>232</v>
      </c>
      <c r="C56" s="22"/>
      <c r="D56" s="22" t="str">
        <f t="shared" si="11"/>
        <v>-</v>
      </c>
      <c r="E56" s="21" t="s">
        <v>233</v>
      </c>
      <c r="F56" s="22"/>
      <c r="G56" s="22" t="str">
        <f t="shared" si="12"/>
        <v>-</v>
      </c>
      <c r="H56" s="21" t="s">
        <v>234</v>
      </c>
      <c r="I56" s="22"/>
      <c r="J56" s="22" t="str">
        <f t="shared" si="9"/>
        <v>-</v>
      </c>
      <c r="K56" s="21" t="s">
        <v>235</v>
      </c>
      <c r="L56" s="25" t="s">
        <v>165</v>
      </c>
      <c r="M56" s="22">
        <f t="shared" si="10"/>
        <v>1</v>
      </c>
      <c r="N56" s="21" t="s">
        <v>236</v>
      </c>
      <c r="O56" s="22"/>
      <c r="P56" s="22" t="str">
        <f t="shared" si="5"/>
        <v>-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6.25" customHeight="1">
      <c r="A57" s="1"/>
      <c r="B57" s="21" t="s">
        <v>237</v>
      </c>
      <c r="C57" s="22"/>
      <c r="D57" s="22" t="str">
        <f t="shared" si="11"/>
        <v>-</v>
      </c>
      <c r="E57" s="21" t="s">
        <v>238</v>
      </c>
      <c r="F57" s="22"/>
      <c r="G57" s="22" t="str">
        <f t="shared" si="12"/>
        <v>-</v>
      </c>
      <c r="H57" s="23" t="s">
        <v>72</v>
      </c>
      <c r="I57" s="16">
        <f>SUM(J41:J56)</f>
        <v>0</v>
      </c>
      <c r="J57" s="18"/>
      <c r="K57" s="21" t="s">
        <v>239</v>
      </c>
      <c r="L57" s="25" t="s">
        <v>205</v>
      </c>
      <c r="M57" s="22">
        <f t="shared" si="10"/>
        <v>0</v>
      </c>
      <c r="N57" s="21" t="s">
        <v>240</v>
      </c>
      <c r="O57" s="22"/>
      <c r="P57" s="22" t="str">
        <f t="shared" si="5"/>
        <v>-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1"/>
      <c r="B58" s="23" t="s">
        <v>72</v>
      </c>
      <c r="C58" s="16">
        <f>SUM(D43:D57)</f>
        <v>0</v>
      </c>
      <c r="D58" s="18"/>
      <c r="E58" s="21" t="s">
        <v>241</v>
      </c>
      <c r="F58" s="22"/>
      <c r="G58" s="22" t="str">
        <f t="shared" si="12"/>
        <v>-</v>
      </c>
      <c r="H58" s="24" t="s">
        <v>242</v>
      </c>
      <c r="I58" s="17"/>
      <c r="J58" s="18"/>
      <c r="K58" s="21" t="s">
        <v>243</v>
      </c>
      <c r="L58" s="25" t="s">
        <v>165</v>
      </c>
      <c r="M58" s="22">
        <f t="shared" si="10"/>
        <v>1</v>
      </c>
      <c r="N58" s="23" t="s">
        <v>72</v>
      </c>
      <c r="O58" s="16">
        <f>SUM(P13:P57)</f>
        <v>0</v>
      </c>
      <c r="P58" s="18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9.25" customHeight="1">
      <c r="A59" s="1"/>
      <c r="B59" s="19" t="s">
        <v>244</v>
      </c>
      <c r="C59" s="20" t="s">
        <v>15</v>
      </c>
      <c r="D59" s="20" t="s">
        <v>16</v>
      </c>
      <c r="E59" s="21" t="s">
        <v>245</v>
      </c>
      <c r="F59" s="22"/>
      <c r="G59" s="22" t="str">
        <f t="shared" si="12"/>
        <v>-</v>
      </c>
      <c r="H59" s="21" t="s">
        <v>246</v>
      </c>
      <c r="I59" s="22"/>
      <c r="J59" s="22" t="str">
        <f t="shared" ref="J59:J82" si="13">IF(I59="Sim",1,IF(I59="Não",0,IF(I59="Às vezes",0.5,"-")))</f>
        <v>-</v>
      </c>
      <c r="K59" s="21" t="s">
        <v>247</v>
      </c>
      <c r="L59" s="25" t="s">
        <v>165</v>
      </c>
      <c r="M59" s="22">
        <f t="shared" si="10"/>
        <v>1</v>
      </c>
      <c r="N59" s="24" t="s">
        <v>248</v>
      </c>
      <c r="O59" s="17"/>
      <c r="P59" s="1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1" t="s">
        <v>249</v>
      </c>
      <c r="C60" s="22"/>
      <c r="D60" s="22" t="str">
        <f t="shared" ref="D60:D67" si="14">IF(C60="Sim",1,IF(C60="Não",0,IF(C60="Às vezes",0.5,"-")))</f>
        <v>-</v>
      </c>
      <c r="E60" s="21" t="s">
        <v>250</v>
      </c>
      <c r="F60" s="22"/>
      <c r="G60" s="22" t="str">
        <f t="shared" si="12"/>
        <v>-</v>
      </c>
      <c r="H60" s="21" t="s">
        <v>251</v>
      </c>
      <c r="I60" s="22"/>
      <c r="J60" s="22" t="str">
        <f t="shared" si="13"/>
        <v>-</v>
      </c>
      <c r="K60" s="21" t="s">
        <v>252</v>
      </c>
      <c r="L60" s="25" t="s">
        <v>165</v>
      </c>
      <c r="M60" s="22">
        <f t="shared" si="10"/>
        <v>1</v>
      </c>
      <c r="N60" s="21" t="s">
        <v>253</v>
      </c>
      <c r="O60" s="22"/>
      <c r="P60" s="22" t="str">
        <f t="shared" ref="P60:P77" si="15">IF(O60="Sim",1,IF(O60="Não",0,IF(O60="Às vezes",0.5,"-")))</f>
        <v>-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1" t="s">
        <v>254</v>
      </c>
      <c r="C61" s="22"/>
      <c r="D61" s="22" t="str">
        <f t="shared" si="14"/>
        <v>-</v>
      </c>
      <c r="E61" s="21" t="s">
        <v>255</v>
      </c>
      <c r="F61" s="22"/>
      <c r="G61" s="22" t="str">
        <f t="shared" si="12"/>
        <v>-</v>
      </c>
      <c r="H61" s="21" t="s">
        <v>256</v>
      </c>
      <c r="I61" s="22"/>
      <c r="J61" s="22" t="str">
        <f t="shared" si="13"/>
        <v>-</v>
      </c>
      <c r="K61" s="21" t="s">
        <v>257</v>
      </c>
      <c r="L61" s="25" t="s">
        <v>165</v>
      </c>
      <c r="M61" s="22">
        <f t="shared" si="10"/>
        <v>1</v>
      </c>
      <c r="N61" s="21" t="s">
        <v>258</v>
      </c>
      <c r="O61" s="22"/>
      <c r="P61" s="22" t="str">
        <f t="shared" si="15"/>
        <v>-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1" t="s">
        <v>259</v>
      </c>
      <c r="C62" s="22"/>
      <c r="D62" s="22" t="str">
        <f t="shared" si="14"/>
        <v>-</v>
      </c>
      <c r="E62" s="21" t="s">
        <v>260</v>
      </c>
      <c r="F62" s="22"/>
      <c r="G62" s="22" t="str">
        <f t="shared" si="12"/>
        <v>-</v>
      </c>
      <c r="H62" s="21" t="s">
        <v>261</v>
      </c>
      <c r="I62" s="22"/>
      <c r="J62" s="22" t="str">
        <f t="shared" si="13"/>
        <v>-</v>
      </c>
      <c r="K62" s="21" t="s">
        <v>262</v>
      </c>
      <c r="L62" s="25" t="s">
        <v>165</v>
      </c>
      <c r="M62" s="22">
        <f t="shared" si="10"/>
        <v>1</v>
      </c>
      <c r="N62" s="21" t="s">
        <v>263</v>
      </c>
      <c r="O62" s="22"/>
      <c r="P62" s="22" t="str">
        <f t="shared" si="15"/>
        <v>-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1" t="s">
        <v>264</v>
      </c>
      <c r="C63" s="22"/>
      <c r="D63" s="22" t="str">
        <f t="shared" si="14"/>
        <v>-</v>
      </c>
      <c r="E63" s="21" t="s">
        <v>265</v>
      </c>
      <c r="F63" s="22"/>
      <c r="G63" s="22" t="str">
        <f t="shared" si="12"/>
        <v>-</v>
      </c>
      <c r="H63" s="21" t="s">
        <v>266</v>
      </c>
      <c r="I63" s="22"/>
      <c r="J63" s="22" t="str">
        <f t="shared" si="13"/>
        <v>-</v>
      </c>
      <c r="K63" s="21" t="s">
        <v>267</v>
      </c>
      <c r="L63" s="25" t="s">
        <v>165</v>
      </c>
      <c r="M63" s="22">
        <f t="shared" si="10"/>
        <v>1</v>
      </c>
      <c r="N63" s="21" t="s">
        <v>268</v>
      </c>
      <c r="O63" s="22"/>
      <c r="P63" s="22" t="str">
        <f t="shared" si="15"/>
        <v>-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1" t="s">
        <v>269</v>
      </c>
      <c r="C64" s="22"/>
      <c r="D64" s="22" t="str">
        <f t="shared" si="14"/>
        <v>-</v>
      </c>
      <c r="E64" s="21" t="s">
        <v>270</v>
      </c>
      <c r="F64" s="22"/>
      <c r="G64" s="22" t="str">
        <f t="shared" si="12"/>
        <v>-</v>
      </c>
      <c r="H64" s="21" t="s">
        <v>271</v>
      </c>
      <c r="I64" s="22"/>
      <c r="J64" s="22" t="str">
        <f t="shared" si="13"/>
        <v>-</v>
      </c>
      <c r="K64" s="21" t="s">
        <v>272</v>
      </c>
      <c r="L64" s="25" t="s">
        <v>165</v>
      </c>
      <c r="M64" s="22">
        <f t="shared" si="10"/>
        <v>1</v>
      </c>
      <c r="N64" s="21" t="s">
        <v>273</v>
      </c>
      <c r="O64" s="22"/>
      <c r="P64" s="22" t="str">
        <f t="shared" si="15"/>
        <v>-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1" t="s">
        <v>274</v>
      </c>
      <c r="C65" s="22"/>
      <c r="D65" s="22" t="str">
        <f t="shared" si="14"/>
        <v>-</v>
      </c>
      <c r="E65" s="21" t="s">
        <v>275</v>
      </c>
      <c r="F65" s="22"/>
      <c r="G65" s="22" t="str">
        <f t="shared" si="12"/>
        <v>-</v>
      </c>
      <c r="H65" s="21" t="s">
        <v>276</v>
      </c>
      <c r="I65" s="22"/>
      <c r="J65" s="22" t="str">
        <f t="shared" si="13"/>
        <v>-</v>
      </c>
      <c r="K65" s="21" t="s">
        <v>277</v>
      </c>
      <c r="L65" s="25" t="s">
        <v>165</v>
      </c>
      <c r="M65" s="22">
        <f t="shared" si="10"/>
        <v>1</v>
      </c>
      <c r="N65" s="21" t="s">
        <v>278</v>
      </c>
      <c r="O65" s="22"/>
      <c r="P65" s="22" t="str">
        <f t="shared" si="15"/>
        <v>-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1" t="s">
        <v>279</v>
      </c>
      <c r="C66" s="22"/>
      <c r="D66" s="22" t="str">
        <f t="shared" si="14"/>
        <v>-</v>
      </c>
      <c r="E66" s="21" t="s">
        <v>280</v>
      </c>
      <c r="F66" s="22"/>
      <c r="G66" s="22" t="str">
        <f t="shared" si="12"/>
        <v>-</v>
      </c>
      <c r="H66" s="21" t="s">
        <v>281</v>
      </c>
      <c r="I66" s="22"/>
      <c r="J66" s="22" t="str">
        <f t="shared" si="13"/>
        <v>-</v>
      </c>
      <c r="K66" s="21" t="s">
        <v>282</v>
      </c>
      <c r="L66" s="25" t="s">
        <v>205</v>
      </c>
      <c r="M66" s="22">
        <f t="shared" si="10"/>
        <v>0</v>
      </c>
      <c r="N66" s="21" t="s">
        <v>283</v>
      </c>
      <c r="O66" s="22"/>
      <c r="P66" s="22" t="str">
        <f t="shared" si="15"/>
        <v>-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3.25" customHeight="1">
      <c r="A67" s="1"/>
      <c r="B67" s="21" t="s">
        <v>284</v>
      </c>
      <c r="C67" s="22"/>
      <c r="D67" s="22" t="str">
        <f t="shared" si="14"/>
        <v>-</v>
      </c>
      <c r="E67" s="21" t="s">
        <v>285</v>
      </c>
      <c r="F67" s="22"/>
      <c r="G67" s="22" t="str">
        <f t="shared" si="12"/>
        <v>-</v>
      </c>
      <c r="H67" s="21" t="s">
        <v>286</v>
      </c>
      <c r="I67" s="22"/>
      <c r="J67" s="22" t="str">
        <f t="shared" si="13"/>
        <v>-</v>
      </c>
      <c r="K67" s="21" t="s">
        <v>287</v>
      </c>
      <c r="L67" s="25" t="s">
        <v>205</v>
      </c>
      <c r="M67" s="22">
        <f t="shared" si="10"/>
        <v>0</v>
      </c>
      <c r="N67" s="21" t="s">
        <v>288</v>
      </c>
      <c r="O67" s="22"/>
      <c r="P67" s="22" t="str">
        <f t="shared" si="15"/>
        <v>-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23" t="s">
        <v>72</v>
      </c>
      <c r="C68" s="16">
        <f>SUM(D60:D67)</f>
        <v>0</v>
      </c>
      <c r="D68" s="18"/>
      <c r="E68" s="21" t="s">
        <v>289</v>
      </c>
      <c r="F68" s="22"/>
      <c r="G68" s="22" t="str">
        <f t="shared" si="12"/>
        <v>-</v>
      </c>
      <c r="H68" s="21" t="s">
        <v>290</v>
      </c>
      <c r="I68" s="22"/>
      <c r="J68" s="22" t="str">
        <f t="shared" si="13"/>
        <v>-</v>
      </c>
      <c r="K68" s="21" t="s">
        <v>291</v>
      </c>
      <c r="L68" s="25" t="s">
        <v>205</v>
      </c>
      <c r="M68" s="22">
        <f t="shared" si="10"/>
        <v>0</v>
      </c>
      <c r="N68" s="21" t="s">
        <v>292</v>
      </c>
      <c r="O68" s="22"/>
      <c r="P68" s="22" t="str">
        <f t="shared" si="15"/>
        <v>-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24" t="s">
        <v>293</v>
      </c>
      <c r="C69" s="17"/>
      <c r="D69" s="18"/>
      <c r="E69" s="21" t="s">
        <v>294</v>
      </c>
      <c r="F69" s="22"/>
      <c r="G69" s="22" t="str">
        <f t="shared" si="12"/>
        <v>-</v>
      </c>
      <c r="H69" s="21" t="s">
        <v>295</v>
      </c>
      <c r="I69" s="22"/>
      <c r="J69" s="22" t="str">
        <f t="shared" si="13"/>
        <v>-</v>
      </c>
      <c r="K69" s="23" t="s">
        <v>72</v>
      </c>
      <c r="L69" s="16">
        <f>SUM(M42:M68)</f>
        <v>21</v>
      </c>
      <c r="M69" s="18"/>
      <c r="N69" s="21" t="s">
        <v>296</v>
      </c>
      <c r="O69" s="22"/>
      <c r="P69" s="22" t="str">
        <f t="shared" si="15"/>
        <v>-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21" t="s">
        <v>297</v>
      </c>
      <c r="C70" s="22"/>
      <c r="D70" s="22" t="str">
        <f t="shared" ref="D70:D81" si="16">IF(C70="Sim",1,IF(C70="Não",0,IF(C70="Às vezes",0.5,"-")))</f>
        <v>-</v>
      </c>
      <c r="E70" s="21" t="s">
        <v>298</v>
      </c>
      <c r="F70" s="22"/>
      <c r="G70" s="22" t="str">
        <f t="shared" si="12"/>
        <v>-</v>
      </c>
      <c r="H70" s="21" t="s">
        <v>299</v>
      </c>
      <c r="I70" s="22"/>
      <c r="J70" s="22" t="str">
        <f t="shared" si="13"/>
        <v>-</v>
      </c>
      <c r="K70" s="24" t="s">
        <v>300</v>
      </c>
      <c r="L70" s="17"/>
      <c r="M70" s="18"/>
      <c r="N70" s="21" t="s">
        <v>301</v>
      </c>
      <c r="O70" s="22"/>
      <c r="P70" s="22" t="str">
        <f t="shared" si="15"/>
        <v>-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1" t="s">
        <v>302</v>
      </c>
      <c r="C71" s="22"/>
      <c r="D71" s="22" t="str">
        <f t="shared" si="16"/>
        <v>-</v>
      </c>
      <c r="E71" s="21" t="s">
        <v>303</v>
      </c>
      <c r="F71" s="22"/>
      <c r="G71" s="22" t="str">
        <f t="shared" si="12"/>
        <v>-</v>
      </c>
      <c r="H71" s="21" t="s">
        <v>304</v>
      </c>
      <c r="I71" s="22"/>
      <c r="J71" s="22" t="str">
        <f t="shared" si="13"/>
        <v>-</v>
      </c>
      <c r="K71" s="21" t="s">
        <v>305</v>
      </c>
      <c r="L71" s="22"/>
      <c r="M71" s="22" t="str">
        <f t="shared" ref="M71:M85" si="17">IF(L71="Sim",1,IF(L71="Não",0,IF(L71="Às vezes",0.5,"-")))</f>
        <v>-</v>
      </c>
      <c r="N71" s="21" t="s">
        <v>306</v>
      </c>
      <c r="O71" s="22"/>
      <c r="P71" s="22" t="str">
        <f t="shared" si="15"/>
        <v>-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1" t="s">
        <v>307</v>
      </c>
      <c r="C72" s="22"/>
      <c r="D72" s="22" t="str">
        <f t="shared" si="16"/>
        <v>-</v>
      </c>
      <c r="E72" s="21" t="s">
        <v>308</v>
      </c>
      <c r="F72" s="22"/>
      <c r="G72" s="22" t="str">
        <f t="shared" si="12"/>
        <v>-</v>
      </c>
      <c r="H72" s="21" t="s">
        <v>309</v>
      </c>
      <c r="I72" s="22"/>
      <c r="J72" s="22" t="str">
        <f t="shared" si="13"/>
        <v>-</v>
      </c>
      <c r="K72" s="21" t="s">
        <v>310</v>
      </c>
      <c r="L72" s="22"/>
      <c r="M72" s="22" t="str">
        <f t="shared" si="17"/>
        <v>-</v>
      </c>
      <c r="N72" s="21" t="s">
        <v>311</v>
      </c>
      <c r="O72" s="22"/>
      <c r="P72" s="22" t="str">
        <f t="shared" si="15"/>
        <v>-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1" t="s">
        <v>312</v>
      </c>
      <c r="C73" s="22"/>
      <c r="D73" s="22" t="str">
        <f t="shared" si="16"/>
        <v>-</v>
      </c>
      <c r="E73" s="21" t="s">
        <v>313</v>
      </c>
      <c r="F73" s="22"/>
      <c r="G73" s="22" t="str">
        <f t="shared" si="12"/>
        <v>-</v>
      </c>
      <c r="H73" s="21" t="s">
        <v>314</v>
      </c>
      <c r="I73" s="22"/>
      <c r="J73" s="22" t="str">
        <f t="shared" si="13"/>
        <v>-</v>
      </c>
      <c r="K73" s="21" t="s">
        <v>315</v>
      </c>
      <c r="L73" s="22"/>
      <c r="M73" s="22" t="str">
        <f t="shared" si="17"/>
        <v>-</v>
      </c>
      <c r="N73" s="21" t="s">
        <v>316</v>
      </c>
      <c r="O73" s="22"/>
      <c r="P73" s="22" t="str">
        <f t="shared" si="15"/>
        <v>-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1" t="s">
        <v>317</v>
      </c>
      <c r="C74" s="22"/>
      <c r="D74" s="22" t="str">
        <f t="shared" si="16"/>
        <v>-</v>
      </c>
      <c r="E74" s="21" t="s">
        <v>318</v>
      </c>
      <c r="F74" s="22"/>
      <c r="G74" s="22" t="str">
        <f t="shared" si="12"/>
        <v>-</v>
      </c>
      <c r="H74" s="21" t="s">
        <v>319</v>
      </c>
      <c r="I74" s="22"/>
      <c r="J74" s="22" t="str">
        <f t="shared" si="13"/>
        <v>-</v>
      </c>
      <c r="K74" s="21" t="s">
        <v>320</v>
      </c>
      <c r="L74" s="22"/>
      <c r="M74" s="22" t="str">
        <f t="shared" si="17"/>
        <v>-</v>
      </c>
      <c r="N74" s="21" t="s">
        <v>321</v>
      </c>
      <c r="O74" s="22"/>
      <c r="P74" s="22" t="str">
        <f t="shared" si="15"/>
        <v>-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1" t="s">
        <v>322</v>
      </c>
      <c r="C75" s="22"/>
      <c r="D75" s="22" t="str">
        <f t="shared" si="16"/>
        <v>-</v>
      </c>
      <c r="E75" s="23" t="s">
        <v>72</v>
      </c>
      <c r="F75" s="16">
        <f>SUM(G45:G74)</f>
        <v>0</v>
      </c>
      <c r="G75" s="18"/>
      <c r="H75" s="21" t="s">
        <v>323</v>
      </c>
      <c r="I75" s="22"/>
      <c r="J75" s="22" t="str">
        <f t="shared" si="13"/>
        <v>-</v>
      </c>
      <c r="K75" s="21" t="s">
        <v>324</v>
      </c>
      <c r="L75" s="22"/>
      <c r="M75" s="22" t="str">
        <f t="shared" si="17"/>
        <v>-</v>
      </c>
      <c r="N75" s="21" t="s">
        <v>325</v>
      </c>
      <c r="O75" s="22"/>
      <c r="P75" s="22" t="str">
        <f t="shared" si="15"/>
        <v>-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1" t="s">
        <v>326</v>
      </c>
      <c r="C76" s="22"/>
      <c r="D76" s="22" t="str">
        <f t="shared" si="16"/>
        <v>-</v>
      </c>
      <c r="E76" s="24" t="s">
        <v>327</v>
      </c>
      <c r="F76" s="17"/>
      <c r="G76" s="18"/>
      <c r="H76" s="21" t="s">
        <v>328</v>
      </c>
      <c r="I76" s="22"/>
      <c r="J76" s="22" t="str">
        <f t="shared" si="13"/>
        <v>-</v>
      </c>
      <c r="K76" s="21" t="s">
        <v>329</v>
      </c>
      <c r="L76" s="22"/>
      <c r="M76" s="22" t="str">
        <f t="shared" si="17"/>
        <v>-</v>
      </c>
      <c r="N76" s="21" t="s">
        <v>330</v>
      </c>
      <c r="O76" s="22"/>
      <c r="P76" s="22" t="str">
        <f t="shared" si="15"/>
        <v>-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1" t="s">
        <v>331</v>
      </c>
      <c r="C77" s="22"/>
      <c r="D77" s="22" t="str">
        <f t="shared" si="16"/>
        <v>-</v>
      </c>
      <c r="E77" s="21" t="s">
        <v>332</v>
      </c>
      <c r="F77" s="22"/>
      <c r="G77" s="22" t="str">
        <f t="shared" ref="G77:G88" si="18">IF(F77="Sim",1,IF(F77="Não",0,IF(F77="Às vezes",0.5,"-")))</f>
        <v>-</v>
      </c>
      <c r="H77" s="21" t="s">
        <v>333</v>
      </c>
      <c r="I77" s="22"/>
      <c r="J77" s="22" t="str">
        <f t="shared" si="13"/>
        <v>-</v>
      </c>
      <c r="K77" s="21" t="s">
        <v>334</v>
      </c>
      <c r="L77" s="22"/>
      <c r="M77" s="22" t="str">
        <f t="shared" si="17"/>
        <v>-</v>
      </c>
      <c r="N77" s="21" t="s">
        <v>335</v>
      </c>
      <c r="O77" s="22"/>
      <c r="P77" s="22" t="str">
        <f t="shared" si="15"/>
        <v>-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21" t="s">
        <v>336</v>
      </c>
      <c r="C78" s="22"/>
      <c r="D78" s="22" t="str">
        <f t="shared" si="16"/>
        <v>-</v>
      </c>
      <c r="E78" s="21" t="s">
        <v>337</v>
      </c>
      <c r="F78" s="22"/>
      <c r="G78" s="22" t="str">
        <f t="shared" si="18"/>
        <v>-</v>
      </c>
      <c r="H78" s="21" t="s">
        <v>338</v>
      </c>
      <c r="I78" s="22"/>
      <c r="J78" s="22" t="str">
        <f t="shared" si="13"/>
        <v>-</v>
      </c>
      <c r="K78" s="21" t="s">
        <v>339</v>
      </c>
      <c r="L78" s="22"/>
      <c r="M78" s="22" t="str">
        <f t="shared" si="17"/>
        <v>-</v>
      </c>
      <c r="N78" s="23" t="s">
        <v>72</v>
      </c>
      <c r="O78" s="16">
        <f>SUM(P60:P77)</f>
        <v>0</v>
      </c>
      <c r="P78" s="1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1" t="s">
        <v>340</v>
      </c>
      <c r="C79" s="22"/>
      <c r="D79" s="22" t="str">
        <f t="shared" si="16"/>
        <v>-</v>
      </c>
      <c r="E79" s="21" t="s">
        <v>341</v>
      </c>
      <c r="F79" s="22"/>
      <c r="G79" s="22" t="str">
        <f t="shared" si="18"/>
        <v>-</v>
      </c>
      <c r="H79" s="21" t="s">
        <v>342</v>
      </c>
      <c r="I79" s="22"/>
      <c r="J79" s="22" t="str">
        <f t="shared" si="13"/>
        <v>-</v>
      </c>
      <c r="K79" s="21" t="s">
        <v>343</v>
      </c>
      <c r="L79" s="22"/>
      <c r="M79" s="22" t="str">
        <f t="shared" si="17"/>
        <v>-</v>
      </c>
      <c r="N79" s="24" t="s">
        <v>344</v>
      </c>
      <c r="O79" s="17"/>
      <c r="P79" s="1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1" t="s">
        <v>345</v>
      </c>
      <c r="C80" s="22"/>
      <c r="D80" s="22" t="str">
        <f t="shared" si="16"/>
        <v>-</v>
      </c>
      <c r="E80" s="21" t="s">
        <v>346</v>
      </c>
      <c r="F80" s="22"/>
      <c r="G80" s="22" t="str">
        <f t="shared" si="18"/>
        <v>-</v>
      </c>
      <c r="H80" s="21" t="s">
        <v>347</v>
      </c>
      <c r="I80" s="22"/>
      <c r="J80" s="22" t="str">
        <f t="shared" si="13"/>
        <v>-</v>
      </c>
      <c r="K80" s="21" t="s">
        <v>348</v>
      </c>
      <c r="L80" s="22"/>
      <c r="M80" s="22" t="str">
        <f t="shared" si="17"/>
        <v>-</v>
      </c>
      <c r="N80" s="21" t="s">
        <v>349</v>
      </c>
      <c r="O80" s="25" t="s">
        <v>165</v>
      </c>
      <c r="P80" s="22">
        <f t="shared" ref="P80:P96" si="19">IF(O80="Sim",1,IF(O80="Não",0,IF(O80="Às vezes",0.5,"-")))</f>
        <v>1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1" t="s">
        <v>350</v>
      </c>
      <c r="C81" s="22"/>
      <c r="D81" s="22" t="str">
        <f t="shared" si="16"/>
        <v>-</v>
      </c>
      <c r="E81" s="21" t="s">
        <v>351</v>
      </c>
      <c r="F81" s="22"/>
      <c r="G81" s="22" t="str">
        <f t="shared" si="18"/>
        <v>-</v>
      </c>
      <c r="H81" s="21" t="s">
        <v>352</v>
      </c>
      <c r="I81" s="22"/>
      <c r="J81" s="22" t="str">
        <f t="shared" si="13"/>
        <v>-</v>
      </c>
      <c r="K81" s="21" t="s">
        <v>353</v>
      </c>
      <c r="L81" s="22"/>
      <c r="M81" s="22" t="str">
        <f t="shared" si="17"/>
        <v>-</v>
      </c>
      <c r="N81" s="21" t="s">
        <v>354</v>
      </c>
      <c r="O81" s="25" t="s">
        <v>165</v>
      </c>
      <c r="P81" s="22">
        <f t="shared" si="19"/>
        <v>1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0.0" customHeight="1">
      <c r="A82" s="1"/>
      <c r="B82" s="23" t="s">
        <v>72</v>
      </c>
      <c r="C82" s="16">
        <f>SUM(D70:D81)</f>
        <v>0</v>
      </c>
      <c r="D82" s="18"/>
      <c r="E82" s="21" t="s">
        <v>355</v>
      </c>
      <c r="F82" s="22"/>
      <c r="G82" s="22" t="str">
        <f t="shared" si="18"/>
        <v>-</v>
      </c>
      <c r="H82" s="21" t="s">
        <v>356</v>
      </c>
      <c r="I82" s="22"/>
      <c r="J82" s="22" t="str">
        <f t="shared" si="13"/>
        <v>-</v>
      </c>
      <c r="K82" s="21" t="s">
        <v>357</v>
      </c>
      <c r="L82" s="22"/>
      <c r="M82" s="22" t="str">
        <f t="shared" si="17"/>
        <v>-</v>
      </c>
      <c r="N82" s="21" t="s">
        <v>358</v>
      </c>
      <c r="O82" s="25" t="s">
        <v>165</v>
      </c>
      <c r="P82" s="22">
        <f t="shared" si="19"/>
        <v>1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24" t="s">
        <v>359</v>
      </c>
      <c r="C83" s="17"/>
      <c r="D83" s="18"/>
      <c r="E83" s="21" t="s">
        <v>360</v>
      </c>
      <c r="F83" s="22"/>
      <c r="G83" s="22" t="str">
        <f t="shared" si="18"/>
        <v>-</v>
      </c>
      <c r="H83" s="23" t="s">
        <v>72</v>
      </c>
      <c r="I83" s="16">
        <f>SUM(J59:J82)</f>
        <v>0</v>
      </c>
      <c r="J83" s="18"/>
      <c r="K83" s="21" t="s">
        <v>361</v>
      </c>
      <c r="L83" s="22"/>
      <c r="M83" s="22" t="str">
        <f t="shared" si="17"/>
        <v>-</v>
      </c>
      <c r="N83" s="21" t="s">
        <v>362</v>
      </c>
      <c r="O83" s="25" t="s">
        <v>165</v>
      </c>
      <c r="P83" s="22">
        <f t="shared" si="19"/>
        <v>1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customHeight="1">
      <c r="A84" s="1"/>
      <c r="B84" s="21" t="s">
        <v>363</v>
      </c>
      <c r="C84" s="22"/>
      <c r="D84" s="22" t="str">
        <f t="shared" ref="D84:D92" si="20">IF(C84="Sim",1,IF(C84="Não",0,IF(C84="Às vezes",0.5,"-")))</f>
        <v>-</v>
      </c>
      <c r="E84" s="21" t="s">
        <v>364</v>
      </c>
      <c r="F84" s="22"/>
      <c r="G84" s="22" t="str">
        <f t="shared" si="18"/>
        <v>-</v>
      </c>
      <c r="H84" s="24" t="s">
        <v>365</v>
      </c>
      <c r="I84" s="17"/>
      <c r="J84" s="18"/>
      <c r="K84" s="21" t="s">
        <v>366</v>
      </c>
      <c r="L84" s="22"/>
      <c r="M84" s="22" t="str">
        <f t="shared" si="17"/>
        <v>-</v>
      </c>
      <c r="N84" s="21" t="s">
        <v>367</v>
      </c>
      <c r="O84" s="25" t="s">
        <v>165</v>
      </c>
      <c r="P84" s="22">
        <f t="shared" si="19"/>
        <v>1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1" t="s">
        <v>368</v>
      </c>
      <c r="C85" s="22"/>
      <c r="D85" s="22" t="str">
        <f t="shared" si="20"/>
        <v>-</v>
      </c>
      <c r="E85" s="21" t="s">
        <v>369</v>
      </c>
      <c r="F85" s="22"/>
      <c r="G85" s="22" t="str">
        <f t="shared" si="18"/>
        <v>-</v>
      </c>
      <c r="H85" s="21" t="s">
        <v>370</v>
      </c>
      <c r="I85" s="22"/>
      <c r="J85" s="22" t="str">
        <f t="shared" ref="J85:J106" si="21">IF(I85="Sim",1,IF(I85="Não",0,IF(I85="Às vezes",0.5,"-")))</f>
        <v>-</v>
      </c>
      <c r="K85" s="21" t="s">
        <v>371</v>
      </c>
      <c r="L85" s="22"/>
      <c r="M85" s="22" t="str">
        <f t="shared" si="17"/>
        <v>-</v>
      </c>
      <c r="N85" s="21" t="s">
        <v>372</v>
      </c>
      <c r="O85" s="25" t="s">
        <v>165</v>
      </c>
      <c r="P85" s="22">
        <f t="shared" si="19"/>
        <v>1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21" t="s">
        <v>373</v>
      </c>
      <c r="C86" s="22"/>
      <c r="D86" s="22" t="str">
        <f t="shared" si="20"/>
        <v>-</v>
      </c>
      <c r="E86" s="21" t="s">
        <v>374</v>
      </c>
      <c r="F86" s="22"/>
      <c r="G86" s="22" t="str">
        <f t="shared" si="18"/>
        <v>-</v>
      </c>
      <c r="H86" s="21" t="s">
        <v>375</v>
      </c>
      <c r="I86" s="22"/>
      <c r="J86" s="22" t="str">
        <f t="shared" si="21"/>
        <v>-</v>
      </c>
      <c r="K86" s="23" t="s">
        <v>72</v>
      </c>
      <c r="L86" s="16">
        <f>SUM(M71:M85)</f>
        <v>0</v>
      </c>
      <c r="M86" s="18"/>
      <c r="N86" s="21" t="s">
        <v>376</v>
      </c>
      <c r="O86" s="25" t="s">
        <v>165</v>
      </c>
      <c r="P86" s="22">
        <f t="shared" si="19"/>
        <v>1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21" t="s">
        <v>377</v>
      </c>
      <c r="C87" s="22"/>
      <c r="D87" s="22" t="str">
        <f t="shared" si="20"/>
        <v>-</v>
      </c>
      <c r="E87" s="21" t="s">
        <v>378</v>
      </c>
      <c r="F87" s="22"/>
      <c r="G87" s="22" t="str">
        <f t="shared" si="18"/>
        <v>-</v>
      </c>
      <c r="H87" s="21" t="s">
        <v>379</v>
      </c>
      <c r="I87" s="22"/>
      <c r="J87" s="22" t="str">
        <f t="shared" si="21"/>
        <v>-</v>
      </c>
      <c r="K87" s="24" t="s">
        <v>380</v>
      </c>
      <c r="L87" s="17"/>
      <c r="M87" s="18"/>
      <c r="N87" s="21" t="s">
        <v>381</v>
      </c>
      <c r="O87" s="25" t="s">
        <v>165</v>
      </c>
      <c r="P87" s="22">
        <f t="shared" si="19"/>
        <v>1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1" t="s">
        <v>382</v>
      </c>
      <c r="C88" s="22"/>
      <c r="D88" s="22" t="str">
        <f t="shared" si="20"/>
        <v>-</v>
      </c>
      <c r="E88" s="21" t="s">
        <v>383</v>
      </c>
      <c r="F88" s="22"/>
      <c r="G88" s="22" t="str">
        <f t="shared" si="18"/>
        <v>-</v>
      </c>
      <c r="H88" s="21" t="s">
        <v>384</v>
      </c>
      <c r="I88" s="22"/>
      <c r="J88" s="22" t="str">
        <f t="shared" si="21"/>
        <v>-</v>
      </c>
      <c r="K88" s="21" t="s">
        <v>385</v>
      </c>
      <c r="L88" s="22"/>
      <c r="M88" s="22" t="str">
        <f t="shared" ref="M88:M110" si="22">IF(L88="Sim",1,IF(L88="Não",0,IF(L88="Às vezes",0.5,"-")))</f>
        <v>-</v>
      </c>
      <c r="N88" s="21" t="s">
        <v>386</v>
      </c>
      <c r="O88" s="25" t="s">
        <v>165</v>
      </c>
      <c r="P88" s="22">
        <f t="shared" si="19"/>
        <v>1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1" t="s">
        <v>387</v>
      </c>
      <c r="C89" s="22"/>
      <c r="D89" s="22" t="str">
        <f t="shared" si="20"/>
        <v>-</v>
      </c>
      <c r="E89" s="23" t="s">
        <v>72</v>
      </c>
      <c r="F89" s="16">
        <f>SUM(G77:G88)</f>
        <v>0</v>
      </c>
      <c r="G89" s="18"/>
      <c r="H89" s="21" t="s">
        <v>388</v>
      </c>
      <c r="I89" s="22"/>
      <c r="J89" s="22" t="str">
        <f t="shared" si="21"/>
        <v>-</v>
      </c>
      <c r="K89" s="21" t="s">
        <v>389</v>
      </c>
      <c r="L89" s="22"/>
      <c r="M89" s="22" t="str">
        <f t="shared" si="22"/>
        <v>-</v>
      </c>
      <c r="N89" s="21" t="s">
        <v>390</v>
      </c>
      <c r="O89" s="25" t="s">
        <v>165</v>
      </c>
      <c r="P89" s="22">
        <f t="shared" si="19"/>
        <v>1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1" t="s">
        <v>391</v>
      </c>
      <c r="C90" s="22"/>
      <c r="D90" s="22" t="str">
        <f t="shared" si="20"/>
        <v>-</v>
      </c>
      <c r="E90" s="26" t="s">
        <v>392</v>
      </c>
      <c r="F90" s="17"/>
      <c r="G90" s="18"/>
      <c r="H90" s="21" t="s">
        <v>393</v>
      </c>
      <c r="I90" s="22"/>
      <c r="J90" s="22" t="str">
        <f t="shared" si="21"/>
        <v>-</v>
      </c>
      <c r="K90" s="21" t="s">
        <v>394</v>
      </c>
      <c r="L90" s="22"/>
      <c r="M90" s="22" t="str">
        <f t="shared" si="22"/>
        <v>-</v>
      </c>
      <c r="N90" s="21" t="s">
        <v>395</v>
      </c>
      <c r="O90" s="25" t="s">
        <v>165</v>
      </c>
      <c r="P90" s="22">
        <f t="shared" si="19"/>
        <v>1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1" t="s">
        <v>396</v>
      </c>
      <c r="C91" s="22"/>
      <c r="D91" s="22" t="str">
        <f t="shared" si="20"/>
        <v>-</v>
      </c>
      <c r="E91" s="21" t="s">
        <v>397</v>
      </c>
      <c r="F91" s="22"/>
      <c r="G91" s="22" t="str">
        <f t="shared" ref="G91:G105" si="23">IF(F91="Sim",1,IF(F91="Não",0,IF(F91="Às vezes",0.5,"-")))</f>
        <v>-</v>
      </c>
      <c r="H91" s="21" t="s">
        <v>398</v>
      </c>
      <c r="I91" s="22"/>
      <c r="J91" s="22" t="str">
        <f t="shared" si="21"/>
        <v>-</v>
      </c>
      <c r="K91" s="21" t="s">
        <v>399</v>
      </c>
      <c r="L91" s="22"/>
      <c r="M91" s="22" t="str">
        <f t="shared" si="22"/>
        <v>-</v>
      </c>
      <c r="N91" s="21" t="s">
        <v>400</v>
      </c>
      <c r="O91" s="25" t="s">
        <v>165</v>
      </c>
      <c r="P91" s="22">
        <f t="shared" si="19"/>
        <v>1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1" t="s">
        <v>401</v>
      </c>
      <c r="C92" s="22"/>
      <c r="D92" s="22" t="str">
        <f t="shared" si="20"/>
        <v>-</v>
      </c>
      <c r="E92" s="21" t="s">
        <v>402</v>
      </c>
      <c r="F92" s="22"/>
      <c r="G92" s="22" t="str">
        <f t="shared" si="23"/>
        <v>-</v>
      </c>
      <c r="H92" s="21" t="s">
        <v>403</v>
      </c>
      <c r="I92" s="22"/>
      <c r="J92" s="22" t="str">
        <f t="shared" si="21"/>
        <v>-</v>
      </c>
      <c r="K92" s="21" t="s">
        <v>404</v>
      </c>
      <c r="L92" s="22"/>
      <c r="M92" s="22" t="str">
        <f t="shared" si="22"/>
        <v>-</v>
      </c>
      <c r="N92" s="21" t="s">
        <v>405</v>
      </c>
      <c r="O92" s="25" t="s">
        <v>165</v>
      </c>
      <c r="P92" s="22">
        <f t="shared" si="19"/>
        <v>1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23" t="s">
        <v>72</v>
      </c>
      <c r="C93" s="16">
        <f>SUM(D84:D92)</f>
        <v>0</v>
      </c>
      <c r="D93" s="18"/>
      <c r="E93" s="21" t="s">
        <v>406</v>
      </c>
      <c r="F93" s="22"/>
      <c r="G93" s="22" t="str">
        <f t="shared" si="23"/>
        <v>-</v>
      </c>
      <c r="H93" s="21" t="s">
        <v>407</v>
      </c>
      <c r="I93" s="22"/>
      <c r="J93" s="22" t="str">
        <f t="shared" si="21"/>
        <v>-</v>
      </c>
      <c r="K93" s="21" t="s">
        <v>408</v>
      </c>
      <c r="L93" s="22"/>
      <c r="M93" s="22" t="str">
        <f t="shared" si="22"/>
        <v>-</v>
      </c>
      <c r="N93" s="21" t="s">
        <v>409</v>
      </c>
      <c r="O93" s="25" t="s">
        <v>205</v>
      </c>
      <c r="P93" s="22">
        <f t="shared" si="19"/>
        <v>0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 t="s">
        <v>410</v>
      </c>
      <c r="C94" s="17"/>
      <c r="D94" s="18"/>
      <c r="E94" s="21" t="s">
        <v>411</v>
      </c>
      <c r="F94" s="22"/>
      <c r="G94" s="22" t="str">
        <f t="shared" si="23"/>
        <v>-</v>
      </c>
      <c r="H94" s="21" t="s">
        <v>412</v>
      </c>
      <c r="I94" s="22"/>
      <c r="J94" s="22" t="str">
        <f t="shared" si="21"/>
        <v>-</v>
      </c>
      <c r="K94" s="21" t="s">
        <v>413</v>
      </c>
      <c r="L94" s="22"/>
      <c r="M94" s="22" t="str">
        <f t="shared" si="22"/>
        <v>-</v>
      </c>
      <c r="N94" s="21" t="s">
        <v>414</v>
      </c>
      <c r="O94" s="25" t="s">
        <v>165</v>
      </c>
      <c r="P94" s="22">
        <f t="shared" si="19"/>
        <v>1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1" t="s">
        <v>415</v>
      </c>
      <c r="C95" s="22"/>
      <c r="D95" s="22" t="str">
        <f t="shared" ref="D95:D105" si="24">IF(C95="Sim",1,IF(C95="Não",0,IF(C95="Às vezes",0.5,"-")))</f>
        <v>-</v>
      </c>
      <c r="E95" s="21" t="s">
        <v>416</v>
      </c>
      <c r="F95" s="22"/>
      <c r="G95" s="22" t="str">
        <f t="shared" si="23"/>
        <v>-</v>
      </c>
      <c r="H95" s="21" t="s">
        <v>417</v>
      </c>
      <c r="I95" s="22"/>
      <c r="J95" s="22" t="str">
        <f t="shared" si="21"/>
        <v>-</v>
      </c>
      <c r="K95" s="21" t="s">
        <v>418</v>
      </c>
      <c r="L95" s="22"/>
      <c r="M95" s="22" t="str">
        <f t="shared" si="22"/>
        <v>-</v>
      </c>
      <c r="N95" s="21" t="s">
        <v>419</v>
      </c>
      <c r="O95" s="25" t="s">
        <v>165</v>
      </c>
      <c r="P95" s="22">
        <f t="shared" si="19"/>
        <v>1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1" t="s">
        <v>420</v>
      </c>
      <c r="C96" s="22"/>
      <c r="D96" s="22" t="str">
        <f t="shared" si="24"/>
        <v>-</v>
      </c>
      <c r="E96" s="21" t="s">
        <v>421</v>
      </c>
      <c r="F96" s="22"/>
      <c r="G96" s="22" t="str">
        <f t="shared" si="23"/>
        <v>-</v>
      </c>
      <c r="H96" s="21" t="s">
        <v>422</v>
      </c>
      <c r="I96" s="22"/>
      <c r="J96" s="22" t="str">
        <f t="shared" si="21"/>
        <v>-</v>
      </c>
      <c r="K96" s="21" t="s">
        <v>423</v>
      </c>
      <c r="L96" s="22"/>
      <c r="M96" s="22" t="str">
        <f t="shared" si="22"/>
        <v>-</v>
      </c>
      <c r="N96" s="21" t="s">
        <v>424</v>
      </c>
      <c r="O96" s="25" t="s">
        <v>165</v>
      </c>
      <c r="P96" s="22">
        <f t="shared" si="19"/>
        <v>1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1" t="s">
        <v>425</v>
      </c>
      <c r="C97" s="22"/>
      <c r="D97" s="22" t="str">
        <f t="shared" si="24"/>
        <v>-</v>
      </c>
      <c r="E97" s="21" t="s">
        <v>426</v>
      </c>
      <c r="F97" s="22"/>
      <c r="G97" s="22" t="str">
        <f t="shared" si="23"/>
        <v>-</v>
      </c>
      <c r="H97" s="21" t="s">
        <v>427</v>
      </c>
      <c r="I97" s="22"/>
      <c r="J97" s="22" t="str">
        <f t="shared" si="21"/>
        <v>-</v>
      </c>
      <c r="K97" s="21" t="s">
        <v>428</v>
      </c>
      <c r="L97" s="22"/>
      <c r="M97" s="22" t="str">
        <f t="shared" si="22"/>
        <v>-</v>
      </c>
      <c r="N97" s="23" t="s">
        <v>72</v>
      </c>
      <c r="O97" s="16">
        <f>SUM(P80:P96)</f>
        <v>16</v>
      </c>
      <c r="P97" s="1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1" t="s">
        <v>429</v>
      </c>
      <c r="C98" s="22"/>
      <c r="D98" s="22" t="str">
        <f t="shared" si="24"/>
        <v>-</v>
      </c>
      <c r="E98" s="21" t="s">
        <v>430</v>
      </c>
      <c r="F98" s="22"/>
      <c r="G98" s="22" t="str">
        <f t="shared" si="23"/>
        <v>-</v>
      </c>
      <c r="H98" s="21" t="s">
        <v>431</v>
      </c>
      <c r="I98" s="22"/>
      <c r="J98" s="22" t="str">
        <f t="shared" si="21"/>
        <v>-</v>
      </c>
      <c r="K98" s="21" t="s">
        <v>432</v>
      </c>
      <c r="L98" s="22"/>
      <c r="M98" s="22" t="str">
        <f t="shared" si="22"/>
        <v>-</v>
      </c>
      <c r="N98" s="24" t="s">
        <v>433</v>
      </c>
      <c r="O98" s="17"/>
      <c r="P98" s="1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1" t="s">
        <v>434</v>
      </c>
      <c r="C99" s="22"/>
      <c r="D99" s="22" t="str">
        <f t="shared" si="24"/>
        <v>-</v>
      </c>
      <c r="E99" s="21" t="s">
        <v>435</v>
      </c>
      <c r="F99" s="22"/>
      <c r="G99" s="22" t="str">
        <f t="shared" si="23"/>
        <v>-</v>
      </c>
      <c r="H99" s="21" t="s">
        <v>436</v>
      </c>
      <c r="I99" s="22"/>
      <c r="J99" s="22" t="str">
        <f t="shared" si="21"/>
        <v>-</v>
      </c>
      <c r="K99" s="21" t="s">
        <v>437</v>
      </c>
      <c r="L99" s="22"/>
      <c r="M99" s="22" t="str">
        <f t="shared" si="22"/>
        <v>-</v>
      </c>
      <c r="N99" s="21" t="s">
        <v>438</v>
      </c>
      <c r="O99" s="22"/>
      <c r="P99" s="22" t="str">
        <f t="shared" ref="P99:P113" si="25">IF(O99="Sim",1,IF(O99="Não",0,IF(O99="Às vezes",0.5,"-")))</f>
        <v>-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1" t="s">
        <v>439</v>
      </c>
      <c r="C100" s="22"/>
      <c r="D100" s="22" t="str">
        <f t="shared" si="24"/>
        <v>-</v>
      </c>
      <c r="E100" s="21" t="s">
        <v>440</v>
      </c>
      <c r="F100" s="22"/>
      <c r="G100" s="22" t="str">
        <f t="shared" si="23"/>
        <v>-</v>
      </c>
      <c r="H100" s="21" t="s">
        <v>441</v>
      </c>
      <c r="I100" s="22"/>
      <c r="J100" s="22" t="str">
        <f t="shared" si="21"/>
        <v>-</v>
      </c>
      <c r="K100" s="21" t="s">
        <v>442</v>
      </c>
      <c r="L100" s="22"/>
      <c r="M100" s="22" t="str">
        <f t="shared" si="22"/>
        <v>-</v>
      </c>
      <c r="N100" s="21" t="s">
        <v>443</v>
      </c>
      <c r="O100" s="22"/>
      <c r="P100" s="22" t="str">
        <f t="shared" si="25"/>
        <v>-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21" t="s">
        <v>444</v>
      </c>
      <c r="C101" s="22"/>
      <c r="D101" s="22" t="str">
        <f t="shared" si="24"/>
        <v>-</v>
      </c>
      <c r="E101" s="21" t="s">
        <v>445</v>
      </c>
      <c r="F101" s="22"/>
      <c r="G101" s="22" t="str">
        <f t="shared" si="23"/>
        <v>-</v>
      </c>
      <c r="H101" s="21" t="s">
        <v>446</v>
      </c>
      <c r="I101" s="22"/>
      <c r="J101" s="22" t="str">
        <f t="shared" si="21"/>
        <v>-</v>
      </c>
      <c r="K101" s="21" t="s">
        <v>447</v>
      </c>
      <c r="L101" s="22"/>
      <c r="M101" s="22" t="str">
        <f t="shared" si="22"/>
        <v>-</v>
      </c>
      <c r="N101" s="21" t="s">
        <v>448</v>
      </c>
      <c r="O101" s="22"/>
      <c r="P101" s="22" t="str">
        <f t="shared" si="25"/>
        <v>-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21" t="s">
        <v>449</v>
      </c>
      <c r="C102" s="22"/>
      <c r="D102" s="22" t="str">
        <f t="shared" si="24"/>
        <v>-</v>
      </c>
      <c r="E102" s="21" t="s">
        <v>450</v>
      </c>
      <c r="F102" s="22"/>
      <c r="G102" s="22" t="str">
        <f t="shared" si="23"/>
        <v>-</v>
      </c>
      <c r="H102" s="21" t="s">
        <v>451</v>
      </c>
      <c r="I102" s="22"/>
      <c r="J102" s="22" t="str">
        <f t="shared" si="21"/>
        <v>-</v>
      </c>
      <c r="K102" s="21" t="s">
        <v>452</v>
      </c>
      <c r="L102" s="22"/>
      <c r="M102" s="22" t="str">
        <f t="shared" si="22"/>
        <v>-</v>
      </c>
      <c r="N102" s="21" t="s">
        <v>453</v>
      </c>
      <c r="O102" s="22"/>
      <c r="P102" s="22" t="str">
        <f t="shared" si="25"/>
        <v>-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1" t="s">
        <v>454</v>
      </c>
      <c r="C103" s="22"/>
      <c r="D103" s="22" t="str">
        <f t="shared" si="24"/>
        <v>-</v>
      </c>
      <c r="E103" s="21" t="s">
        <v>455</v>
      </c>
      <c r="F103" s="22"/>
      <c r="G103" s="22" t="str">
        <f t="shared" si="23"/>
        <v>-</v>
      </c>
      <c r="H103" s="21" t="s">
        <v>456</v>
      </c>
      <c r="I103" s="22"/>
      <c r="J103" s="22" t="str">
        <f t="shared" si="21"/>
        <v>-</v>
      </c>
      <c r="K103" s="21" t="s">
        <v>457</v>
      </c>
      <c r="L103" s="22"/>
      <c r="M103" s="22" t="str">
        <f t="shared" si="22"/>
        <v>-</v>
      </c>
      <c r="N103" s="21" t="s">
        <v>458</v>
      </c>
      <c r="O103" s="22"/>
      <c r="P103" s="22" t="str">
        <f t="shared" si="25"/>
        <v>-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1" t="s">
        <v>459</v>
      </c>
      <c r="C104" s="22"/>
      <c r="D104" s="22" t="str">
        <f t="shared" si="24"/>
        <v>-</v>
      </c>
      <c r="E104" s="21" t="s">
        <v>460</v>
      </c>
      <c r="F104" s="22"/>
      <c r="G104" s="22" t="str">
        <f t="shared" si="23"/>
        <v>-</v>
      </c>
      <c r="H104" s="21" t="s">
        <v>461</v>
      </c>
      <c r="I104" s="22"/>
      <c r="J104" s="22" t="str">
        <f t="shared" si="21"/>
        <v>-</v>
      </c>
      <c r="K104" s="21" t="s">
        <v>462</v>
      </c>
      <c r="L104" s="22"/>
      <c r="M104" s="22" t="str">
        <f t="shared" si="22"/>
        <v>-</v>
      </c>
      <c r="N104" s="21" t="s">
        <v>463</v>
      </c>
      <c r="O104" s="22"/>
      <c r="P104" s="22" t="str">
        <f t="shared" si="25"/>
        <v>-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5"/>
      <c r="B105" s="21" t="s">
        <v>464</v>
      </c>
      <c r="C105" s="22"/>
      <c r="D105" s="22" t="str">
        <f t="shared" si="24"/>
        <v>-</v>
      </c>
      <c r="E105" s="21" t="s">
        <v>465</v>
      </c>
      <c r="F105" s="22"/>
      <c r="G105" s="22" t="str">
        <f t="shared" si="23"/>
        <v>-</v>
      </c>
      <c r="H105" s="21" t="s">
        <v>466</v>
      </c>
      <c r="I105" s="22"/>
      <c r="J105" s="22" t="str">
        <f t="shared" si="21"/>
        <v>-</v>
      </c>
      <c r="K105" s="21" t="s">
        <v>467</v>
      </c>
      <c r="L105" s="22"/>
      <c r="M105" s="22" t="str">
        <f t="shared" si="22"/>
        <v>-</v>
      </c>
      <c r="N105" s="21" t="s">
        <v>468</v>
      </c>
      <c r="O105" s="22"/>
      <c r="P105" s="22" t="str">
        <f t="shared" si="25"/>
        <v>-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"/>
      <c r="B106" s="23" t="s">
        <v>72</v>
      </c>
      <c r="C106" s="16">
        <f>SUM(D95:D105)</f>
        <v>0</v>
      </c>
      <c r="D106" s="18"/>
      <c r="E106" s="23" t="s">
        <v>72</v>
      </c>
      <c r="F106" s="16">
        <f>SUM(G91:G105)</f>
        <v>0</v>
      </c>
      <c r="G106" s="18"/>
      <c r="H106" s="21" t="s">
        <v>469</v>
      </c>
      <c r="I106" s="22"/>
      <c r="J106" s="22" t="str">
        <f t="shared" si="21"/>
        <v>-</v>
      </c>
      <c r="K106" s="21" t="s">
        <v>470</v>
      </c>
      <c r="L106" s="22"/>
      <c r="M106" s="22" t="str">
        <f t="shared" si="22"/>
        <v>-</v>
      </c>
      <c r="N106" s="21" t="s">
        <v>471</v>
      </c>
      <c r="O106" s="22"/>
      <c r="P106" s="22" t="str">
        <f t="shared" si="25"/>
        <v>-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1"/>
      <c r="C107" s="13"/>
      <c r="D107" s="13"/>
      <c r="E107" s="24" t="s">
        <v>472</v>
      </c>
      <c r="F107" s="17"/>
      <c r="G107" s="18"/>
      <c r="H107" s="23" t="s">
        <v>72</v>
      </c>
      <c r="I107" s="16">
        <f>SUM(J85:J106)</f>
        <v>0</v>
      </c>
      <c r="J107" s="18"/>
      <c r="K107" s="21" t="s">
        <v>473</v>
      </c>
      <c r="L107" s="22"/>
      <c r="M107" s="22" t="str">
        <f t="shared" si="22"/>
        <v>-</v>
      </c>
      <c r="N107" s="21" t="s">
        <v>474</v>
      </c>
      <c r="O107" s="22"/>
      <c r="P107" s="22" t="str">
        <f t="shared" si="25"/>
        <v>-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3"/>
      <c r="D108" s="13"/>
      <c r="E108" s="21" t="s">
        <v>475</v>
      </c>
      <c r="F108" s="22"/>
      <c r="G108" s="22" t="str">
        <f t="shared" ref="G108:G121" si="26">IF(F108="Sim",1,IF(F108="Não",0,IF(F108="Às vezes",0.5,"-")))</f>
        <v>-</v>
      </c>
      <c r="H108" s="24" t="s">
        <v>476</v>
      </c>
      <c r="I108" s="17"/>
      <c r="J108" s="18"/>
      <c r="K108" s="21" t="s">
        <v>477</v>
      </c>
      <c r="L108" s="22"/>
      <c r="M108" s="22" t="str">
        <f t="shared" si="22"/>
        <v>-</v>
      </c>
      <c r="N108" s="21" t="s">
        <v>478</v>
      </c>
      <c r="O108" s="22"/>
      <c r="P108" s="22" t="str">
        <f t="shared" si="25"/>
        <v>-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3"/>
      <c r="D109" s="13"/>
      <c r="E109" s="21" t="s">
        <v>479</v>
      </c>
      <c r="F109" s="22"/>
      <c r="G109" s="22" t="str">
        <f t="shared" si="26"/>
        <v>-</v>
      </c>
      <c r="H109" s="21" t="s">
        <v>480</v>
      </c>
      <c r="I109" s="22"/>
      <c r="J109" s="22" t="str">
        <f t="shared" ref="J109:J130" si="27">IF(I109="Sim",1,IF(I109="Não",0,IF(I109="Às vezes",0.5,"-")))</f>
        <v>-</v>
      </c>
      <c r="K109" s="21" t="s">
        <v>481</v>
      </c>
      <c r="L109" s="22"/>
      <c r="M109" s="22" t="str">
        <f t="shared" si="22"/>
        <v>-</v>
      </c>
      <c r="N109" s="21" t="s">
        <v>482</v>
      </c>
      <c r="O109" s="22"/>
      <c r="P109" s="22" t="str">
        <f t="shared" si="25"/>
        <v>-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3"/>
      <c r="D110" s="13"/>
      <c r="E110" s="21" t="s">
        <v>483</v>
      </c>
      <c r="F110" s="22"/>
      <c r="G110" s="22" t="str">
        <f t="shared" si="26"/>
        <v>-</v>
      </c>
      <c r="H110" s="21" t="s">
        <v>484</v>
      </c>
      <c r="I110" s="22"/>
      <c r="J110" s="22" t="str">
        <f t="shared" si="27"/>
        <v>-</v>
      </c>
      <c r="K110" s="21" t="s">
        <v>485</v>
      </c>
      <c r="L110" s="22"/>
      <c r="M110" s="22" t="str">
        <f t="shared" si="22"/>
        <v>-</v>
      </c>
      <c r="N110" s="21" t="s">
        <v>486</v>
      </c>
      <c r="O110" s="22"/>
      <c r="P110" s="22" t="str">
        <f t="shared" si="25"/>
        <v>-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3"/>
      <c r="D111" s="13"/>
      <c r="E111" s="21" t="s">
        <v>487</v>
      </c>
      <c r="F111" s="22"/>
      <c r="G111" s="22" t="str">
        <f t="shared" si="26"/>
        <v>-</v>
      </c>
      <c r="H111" s="21" t="s">
        <v>488</v>
      </c>
      <c r="I111" s="22"/>
      <c r="J111" s="22" t="str">
        <f t="shared" si="27"/>
        <v>-</v>
      </c>
      <c r="K111" s="23" t="s">
        <v>72</v>
      </c>
      <c r="L111" s="16">
        <f>SUM(M88:M110)</f>
        <v>0</v>
      </c>
      <c r="M111" s="18"/>
      <c r="N111" s="21" t="s">
        <v>489</v>
      </c>
      <c r="O111" s="22"/>
      <c r="P111" s="22" t="str">
        <f t="shared" si="25"/>
        <v>-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3"/>
      <c r="D112" s="13"/>
      <c r="E112" s="21" t="s">
        <v>490</v>
      </c>
      <c r="F112" s="22"/>
      <c r="G112" s="22" t="str">
        <f t="shared" si="26"/>
        <v>-</v>
      </c>
      <c r="H112" s="21" t="s">
        <v>491</v>
      </c>
      <c r="I112" s="22"/>
      <c r="J112" s="22" t="str">
        <f t="shared" si="27"/>
        <v>-</v>
      </c>
      <c r="K112" s="24" t="s">
        <v>492</v>
      </c>
      <c r="L112" s="17"/>
      <c r="M112" s="18"/>
      <c r="N112" s="21" t="s">
        <v>493</v>
      </c>
      <c r="O112" s="22"/>
      <c r="P112" s="22" t="str">
        <f t="shared" si="25"/>
        <v>-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3"/>
      <c r="D113" s="13"/>
      <c r="E113" s="21" t="s">
        <v>494</v>
      </c>
      <c r="F113" s="22"/>
      <c r="G113" s="22" t="str">
        <f t="shared" si="26"/>
        <v>-</v>
      </c>
      <c r="H113" s="21" t="s">
        <v>495</v>
      </c>
      <c r="I113" s="22"/>
      <c r="J113" s="22" t="str">
        <f t="shared" si="27"/>
        <v>-</v>
      </c>
      <c r="K113" s="21" t="s">
        <v>496</v>
      </c>
      <c r="L113" s="22"/>
      <c r="M113" s="22" t="str">
        <f t="shared" ref="M113:M127" si="28">IF(L113="Sim",1,IF(L113="Não",0,IF(L113="Às vezes",0.5,"-")))</f>
        <v>-</v>
      </c>
      <c r="N113" s="21" t="s">
        <v>497</v>
      </c>
      <c r="O113" s="22"/>
      <c r="P113" s="22" t="str">
        <f t="shared" si="25"/>
        <v>-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3"/>
      <c r="D114" s="13"/>
      <c r="E114" s="21" t="s">
        <v>498</v>
      </c>
      <c r="F114" s="22"/>
      <c r="G114" s="22" t="str">
        <f t="shared" si="26"/>
        <v>-</v>
      </c>
      <c r="H114" s="21" t="s">
        <v>499</v>
      </c>
      <c r="I114" s="22"/>
      <c r="J114" s="22" t="str">
        <f t="shared" si="27"/>
        <v>-</v>
      </c>
      <c r="K114" s="21" t="s">
        <v>500</v>
      </c>
      <c r="L114" s="22"/>
      <c r="M114" s="22" t="str">
        <f t="shared" si="28"/>
        <v>-</v>
      </c>
      <c r="N114" s="23" t="s">
        <v>72</v>
      </c>
      <c r="O114" s="16">
        <f>SUM(P99:P113)</f>
        <v>0</v>
      </c>
      <c r="P114" s="1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3"/>
      <c r="D115" s="13"/>
      <c r="E115" s="21" t="s">
        <v>501</v>
      </c>
      <c r="F115" s="22"/>
      <c r="G115" s="22" t="str">
        <f t="shared" si="26"/>
        <v>-</v>
      </c>
      <c r="H115" s="21" t="s">
        <v>502</v>
      </c>
      <c r="I115" s="22"/>
      <c r="J115" s="22" t="str">
        <f t="shared" si="27"/>
        <v>-</v>
      </c>
      <c r="K115" s="21" t="s">
        <v>503</v>
      </c>
      <c r="L115" s="22"/>
      <c r="M115" s="22" t="str">
        <f t="shared" si="28"/>
        <v>-</v>
      </c>
      <c r="N115" s="24" t="s">
        <v>504</v>
      </c>
      <c r="O115" s="17"/>
      <c r="P115" s="1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3"/>
      <c r="D116" s="13"/>
      <c r="E116" s="21" t="s">
        <v>505</v>
      </c>
      <c r="F116" s="22"/>
      <c r="G116" s="22" t="str">
        <f t="shared" si="26"/>
        <v>-</v>
      </c>
      <c r="H116" s="21" t="s">
        <v>506</v>
      </c>
      <c r="I116" s="22"/>
      <c r="J116" s="22" t="str">
        <f t="shared" si="27"/>
        <v>-</v>
      </c>
      <c r="K116" s="21" t="s">
        <v>507</v>
      </c>
      <c r="L116" s="22"/>
      <c r="M116" s="22" t="str">
        <f t="shared" si="28"/>
        <v>-</v>
      </c>
      <c r="N116" s="21" t="s">
        <v>508</v>
      </c>
      <c r="O116" s="22"/>
      <c r="P116" s="22" t="str">
        <f t="shared" ref="P116:P131" si="29">IF(O116="Sim",1,IF(O116="Não",0,IF(O116="Às vezes",0.5,"-")))</f>
        <v>-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3"/>
      <c r="D117" s="13"/>
      <c r="E117" s="21" t="s">
        <v>509</v>
      </c>
      <c r="F117" s="22"/>
      <c r="G117" s="22" t="str">
        <f t="shared" si="26"/>
        <v>-</v>
      </c>
      <c r="H117" s="21" t="s">
        <v>510</v>
      </c>
      <c r="I117" s="22"/>
      <c r="J117" s="22" t="str">
        <f t="shared" si="27"/>
        <v>-</v>
      </c>
      <c r="K117" s="21" t="s">
        <v>511</v>
      </c>
      <c r="L117" s="22"/>
      <c r="M117" s="22" t="str">
        <f t="shared" si="28"/>
        <v>-</v>
      </c>
      <c r="N117" s="21" t="s">
        <v>512</v>
      </c>
      <c r="O117" s="22"/>
      <c r="P117" s="22" t="str">
        <f t="shared" si="29"/>
        <v>-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1.5" customHeight="1">
      <c r="A118" s="1"/>
      <c r="B118" s="1"/>
      <c r="C118" s="13"/>
      <c r="D118" s="13"/>
      <c r="E118" s="21" t="s">
        <v>513</v>
      </c>
      <c r="F118" s="22"/>
      <c r="G118" s="22" t="str">
        <f t="shared" si="26"/>
        <v>-</v>
      </c>
      <c r="H118" s="21" t="s">
        <v>514</v>
      </c>
      <c r="I118" s="22"/>
      <c r="J118" s="22" t="str">
        <f t="shared" si="27"/>
        <v>-</v>
      </c>
      <c r="K118" s="21" t="s">
        <v>515</v>
      </c>
      <c r="L118" s="22"/>
      <c r="M118" s="22" t="str">
        <f t="shared" si="28"/>
        <v>-</v>
      </c>
      <c r="N118" s="21" t="s">
        <v>516</v>
      </c>
      <c r="O118" s="22"/>
      <c r="P118" s="22" t="str">
        <f t="shared" si="29"/>
        <v>-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3"/>
      <c r="D119" s="13"/>
      <c r="E119" s="21" t="s">
        <v>517</v>
      </c>
      <c r="F119" s="22"/>
      <c r="G119" s="22" t="str">
        <f t="shared" si="26"/>
        <v>-</v>
      </c>
      <c r="H119" s="21" t="s">
        <v>518</v>
      </c>
      <c r="I119" s="22"/>
      <c r="J119" s="22" t="str">
        <f t="shared" si="27"/>
        <v>-</v>
      </c>
      <c r="K119" s="21" t="s">
        <v>519</v>
      </c>
      <c r="L119" s="22"/>
      <c r="M119" s="22" t="str">
        <f t="shared" si="28"/>
        <v>-</v>
      </c>
      <c r="N119" s="21" t="s">
        <v>520</v>
      </c>
      <c r="O119" s="22"/>
      <c r="P119" s="22" t="str">
        <f t="shared" si="29"/>
        <v>-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3"/>
      <c r="D120" s="13"/>
      <c r="E120" s="21" t="s">
        <v>521</v>
      </c>
      <c r="F120" s="22"/>
      <c r="G120" s="22" t="str">
        <f t="shared" si="26"/>
        <v>-</v>
      </c>
      <c r="H120" s="21" t="s">
        <v>522</v>
      </c>
      <c r="I120" s="22"/>
      <c r="J120" s="22" t="str">
        <f t="shared" si="27"/>
        <v>-</v>
      </c>
      <c r="K120" s="21" t="s">
        <v>523</v>
      </c>
      <c r="L120" s="22"/>
      <c r="M120" s="22" t="str">
        <f t="shared" si="28"/>
        <v>-</v>
      </c>
      <c r="N120" s="21" t="s">
        <v>524</v>
      </c>
      <c r="O120" s="22"/>
      <c r="P120" s="22" t="str">
        <f t="shared" si="29"/>
        <v>-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3"/>
      <c r="D121" s="13"/>
      <c r="E121" s="21" t="s">
        <v>525</v>
      </c>
      <c r="F121" s="22"/>
      <c r="G121" s="22" t="str">
        <f t="shared" si="26"/>
        <v>-</v>
      </c>
      <c r="H121" s="21" t="s">
        <v>526</v>
      </c>
      <c r="I121" s="22"/>
      <c r="J121" s="22" t="str">
        <f t="shared" si="27"/>
        <v>-</v>
      </c>
      <c r="K121" s="21" t="s">
        <v>527</v>
      </c>
      <c r="L121" s="22"/>
      <c r="M121" s="22" t="str">
        <f t="shared" si="28"/>
        <v>-</v>
      </c>
      <c r="N121" s="21" t="s">
        <v>528</v>
      </c>
      <c r="O121" s="22"/>
      <c r="P121" s="22" t="str">
        <f t="shared" si="29"/>
        <v>-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3.25" customHeight="1">
      <c r="A122" s="1"/>
      <c r="B122" s="1"/>
      <c r="C122" s="13"/>
      <c r="D122" s="13"/>
      <c r="E122" s="23" t="s">
        <v>72</v>
      </c>
      <c r="F122" s="16">
        <f>SUM(G108:G121)</f>
        <v>0</v>
      </c>
      <c r="G122" s="18"/>
      <c r="H122" s="21" t="s">
        <v>529</v>
      </c>
      <c r="I122" s="22"/>
      <c r="J122" s="22" t="str">
        <f t="shared" si="27"/>
        <v>-</v>
      </c>
      <c r="K122" s="21" t="s">
        <v>530</v>
      </c>
      <c r="L122" s="22"/>
      <c r="M122" s="22" t="str">
        <f t="shared" si="28"/>
        <v>-</v>
      </c>
      <c r="N122" s="21" t="s">
        <v>531</v>
      </c>
      <c r="O122" s="22"/>
      <c r="P122" s="22" t="str">
        <f t="shared" si="29"/>
        <v>-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3"/>
      <c r="D123" s="13"/>
      <c r="E123" s="1"/>
      <c r="F123" s="13"/>
      <c r="G123" s="1"/>
      <c r="H123" s="21" t="s">
        <v>532</v>
      </c>
      <c r="I123" s="22"/>
      <c r="J123" s="22" t="str">
        <f t="shared" si="27"/>
        <v>-</v>
      </c>
      <c r="K123" s="21" t="s">
        <v>533</v>
      </c>
      <c r="L123" s="22"/>
      <c r="M123" s="22" t="str">
        <f t="shared" si="28"/>
        <v>-</v>
      </c>
      <c r="N123" s="21" t="s">
        <v>534</v>
      </c>
      <c r="O123" s="22"/>
      <c r="P123" s="22" t="str">
        <f t="shared" si="29"/>
        <v>-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3"/>
      <c r="D124" s="13"/>
      <c r="E124" s="1"/>
      <c r="F124" s="13"/>
      <c r="G124" s="1"/>
      <c r="H124" s="21" t="s">
        <v>535</v>
      </c>
      <c r="I124" s="22"/>
      <c r="J124" s="22" t="str">
        <f t="shared" si="27"/>
        <v>-</v>
      </c>
      <c r="K124" s="21" t="s">
        <v>536</v>
      </c>
      <c r="L124" s="22"/>
      <c r="M124" s="22" t="str">
        <f t="shared" si="28"/>
        <v>-</v>
      </c>
      <c r="N124" s="21" t="s">
        <v>537</v>
      </c>
      <c r="O124" s="22"/>
      <c r="P124" s="22" t="str">
        <f t="shared" si="29"/>
        <v>-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3"/>
      <c r="D125" s="13"/>
      <c r="E125" s="1"/>
      <c r="F125" s="13"/>
      <c r="G125" s="1"/>
      <c r="H125" s="21" t="s">
        <v>538</v>
      </c>
      <c r="I125" s="22"/>
      <c r="J125" s="22" t="str">
        <f t="shared" si="27"/>
        <v>-</v>
      </c>
      <c r="K125" s="21" t="s">
        <v>539</v>
      </c>
      <c r="L125" s="22"/>
      <c r="M125" s="22" t="str">
        <f t="shared" si="28"/>
        <v>-</v>
      </c>
      <c r="N125" s="21" t="s">
        <v>540</v>
      </c>
      <c r="O125" s="22"/>
      <c r="P125" s="22" t="str">
        <f t="shared" si="29"/>
        <v>-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3"/>
      <c r="D126" s="13"/>
      <c r="E126" s="1"/>
      <c r="F126" s="13"/>
      <c r="G126" s="1"/>
      <c r="H126" s="21" t="s">
        <v>541</v>
      </c>
      <c r="I126" s="22"/>
      <c r="J126" s="22" t="str">
        <f t="shared" si="27"/>
        <v>-</v>
      </c>
      <c r="K126" s="21" t="s">
        <v>542</v>
      </c>
      <c r="L126" s="22"/>
      <c r="M126" s="22" t="str">
        <f t="shared" si="28"/>
        <v>-</v>
      </c>
      <c r="N126" s="21" t="s">
        <v>543</v>
      </c>
      <c r="O126" s="22"/>
      <c r="P126" s="22" t="str">
        <f t="shared" si="29"/>
        <v>-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3"/>
      <c r="D127" s="13"/>
      <c r="E127" s="1"/>
      <c r="F127" s="13"/>
      <c r="G127" s="1"/>
      <c r="H127" s="21" t="s">
        <v>544</v>
      </c>
      <c r="I127" s="22"/>
      <c r="J127" s="22" t="str">
        <f t="shared" si="27"/>
        <v>-</v>
      </c>
      <c r="K127" s="21" t="s">
        <v>545</v>
      </c>
      <c r="L127" s="22"/>
      <c r="M127" s="22" t="str">
        <f t="shared" si="28"/>
        <v>-</v>
      </c>
      <c r="N127" s="21" t="s">
        <v>546</v>
      </c>
      <c r="O127" s="22"/>
      <c r="P127" s="22" t="str">
        <f t="shared" si="29"/>
        <v>-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3"/>
      <c r="D128" s="13"/>
      <c r="E128" s="1"/>
      <c r="F128" s="13"/>
      <c r="G128" s="1"/>
      <c r="H128" s="21" t="s">
        <v>547</v>
      </c>
      <c r="I128" s="22"/>
      <c r="J128" s="22" t="str">
        <f t="shared" si="27"/>
        <v>-</v>
      </c>
      <c r="K128" s="23" t="s">
        <v>72</v>
      </c>
      <c r="L128" s="16">
        <f>SUM(M113:M127)</f>
        <v>0</v>
      </c>
      <c r="M128" s="18"/>
      <c r="N128" s="21" t="s">
        <v>548</v>
      </c>
      <c r="O128" s="22"/>
      <c r="P128" s="22" t="str">
        <f t="shared" si="29"/>
        <v>-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3"/>
      <c r="D129" s="13"/>
      <c r="E129" s="1"/>
      <c r="F129" s="13"/>
      <c r="G129" s="1"/>
      <c r="H129" s="21" t="s">
        <v>549</v>
      </c>
      <c r="I129" s="22"/>
      <c r="J129" s="22" t="str">
        <f t="shared" si="27"/>
        <v>-</v>
      </c>
      <c r="K129" s="1"/>
      <c r="L129" s="1"/>
      <c r="M129" s="1"/>
      <c r="N129" s="21" t="s">
        <v>550</v>
      </c>
      <c r="O129" s="22"/>
      <c r="P129" s="22" t="str">
        <f t="shared" si="29"/>
        <v>-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3"/>
      <c r="D130" s="13"/>
      <c r="E130" s="1"/>
      <c r="F130" s="13"/>
      <c r="G130" s="1"/>
      <c r="H130" s="21" t="s">
        <v>551</v>
      </c>
      <c r="I130" s="22"/>
      <c r="J130" s="22" t="str">
        <f t="shared" si="27"/>
        <v>-</v>
      </c>
      <c r="K130" s="1"/>
      <c r="L130" s="1"/>
      <c r="M130" s="1"/>
      <c r="N130" s="21" t="s">
        <v>552</v>
      </c>
      <c r="O130" s="22"/>
      <c r="P130" s="22" t="str">
        <f t="shared" si="29"/>
        <v>-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13"/>
      <c r="D131" s="13"/>
      <c r="E131" s="1"/>
      <c r="F131" s="13"/>
      <c r="G131" s="1"/>
      <c r="H131" s="23" t="s">
        <v>72</v>
      </c>
      <c r="I131" s="16">
        <f>SUM(J109:J130)</f>
        <v>0</v>
      </c>
      <c r="J131" s="18"/>
      <c r="K131" s="1"/>
      <c r="L131" s="1"/>
      <c r="M131" s="1"/>
      <c r="N131" s="21" t="s">
        <v>553</v>
      </c>
      <c r="O131" s="22"/>
      <c r="P131" s="22" t="str">
        <f t="shared" si="29"/>
        <v>-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1"/>
      <c r="C132" s="13"/>
      <c r="D132" s="13"/>
      <c r="E132" s="1"/>
      <c r="F132" s="13"/>
      <c r="G132" s="1"/>
      <c r="H132" s="1"/>
      <c r="I132" s="1"/>
      <c r="J132" s="1"/>
      <c r="K132" s="1"/>
      <c r="L132" s="1"/>
      <c r="M132" s="1"/>
      <c r="N132" s="23" t="s">
        <v>72</v>
      </c>
      <c r="O132" s="16">
        <f>SUM(P116:P131)</f>
        <v>0</v>
      </c>
      <c r="P132" s="1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35.25" customHeight="1">
      <c r="A133" s="1"/>
      <c r="B133" s="1"/>
      <c r="C133" s="13"/>
      <c r="D133" s="13"/>
      <c r="E133" s="1"/>
      <c r="F133" s="13"/>
      <c r="G133" s="1"/>
      <c r="H133" s="1"/>
      <c r="I133" s="1"/>
      <c r="J133" s="1"/>
      <c r="K133" s="1"/>
      <c r="L133" s="1"/>
      <c r="M133" s="1"/>
      <c r="N133" s="24" t="s">
        <v>554</v>
      </c>
      <c r="O133" s="17"/>
      <c r="P133" s="1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1.5" customHeight="1">
      <c r="A134" s="1"/>
      <c r="B134" s="1"/>
      <c r="C134" s="13"/>
      <c r="D134" s="13"/>
      <c r="E134" s="1"/>
      <c r="F134" s="13"/>
      <c r="G134" s="1"/>
      <c r="H134" s="1"/>
      <c r="I134" s="1"/>
      <c r="J134" s="1"/>
      <c r="K134" s="1"/>
      <c r="L134" s="1"/>
      <c r="M134" s="1"/>
      <c r="N134" s="21" t="s">
        <v>555</v>
      </c>
      <c r="O134" s="22"/>
      <c r="P134" s="22" t="str">
        <f t="shared" ref="P134:P162" si="30">IF(O134="Sim",1,IF(O134="Não",0,IF(O134="Às vezes",0.5,"-")))</f>
        <v>-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3"/>
      <c r="D135" s="13"/>
      <c r="E135" s="1"/>
      <c r="F135" s="13"/>
      <c r="G135" s="1"/>
      <c r="H135" s="1"/>
      <c r="I135" s="1"/>
      <c r="J135" s="1"/>
      <c r="K135" s="1"/>
      <c r="L135" s="1"/>
      <c r="M135" s="1"/>
      <c r="N135" s="21" t="s">
        <v>556</v>
      </c>
      <c r="O135" s="22"/>
      <c r="P135" s="22" t="str">
        <f t="shared" si="30"/>
        <v>-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3"/>
      <c r="D136" s="13"/>
      <c r="E136" s="1"/>
      <c r="F136" s="13"/>
      <c r="G136" s="1"/>
      <c r="H136" s="1"/>
      <c r="I136" s="1"/>
      <c r="J136" s="1"/>
      <c r="K136" s="1"/>
      <c r="L136" s="1"/>
      <c r="M136" s="1"/>
      <c r="N136" s="21" t="s">
        <v>557</v>
      </c>
      <c r="O136" s="22"/>
      <c r="P136" s="22" t="str">
        <f t="shared" si="30"/>
        <v>-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3"/>
      <c r="D137" s="13"/>
      <c r="E137" s="1"/>
      <c r="F137" s="13"/>
      <c r="G137" s="1"/>
      <c r="H137" s="1"/>
      <c r="I137" s="1"/>
      <c r="J137" s="1"/>
      <c r="K137" s="1"/>
      <c r="L137" s="1"/>
      <c r="M137" s="1"/>
      <c r="N137" s="21" t="s">
        <v>558</v>
      </c>
      <c r="O137" s="22"/>
      <c r="P137" s="22" t="str">
        <f t="shared" si="30"/>
        <v>-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3"/>
      <c r="D138" s="13"/>
      <c r="E138" s="1"/>
      <c r="F138" s="13"/>
      <c r="G138" s="1"/>
      <c r="H138" s="1"/>
      <c r="I138" s="1"/>
      <c r="J138" s="1"/>
      <c r="K138" s="1"/>
      <c r="L138" s="1"/>
      <c r="M138" s="1"/>
      <c r="N138" s="21" t="s">
        <v>559</v>
      </c>
      <c r="O138" s="22"/>
      <c r="P138" s="22" t="str">
        <f t="shared" si="30"/>
        <v>-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3"/>
      <c r="D139" s="13"/>
      <c r="E139" s="1"/>
      <c r="F139" s="13"/>
      <c r="G139" s="1"/>
      <c r="H139" s="1"/>
      <c r="I139" s="1"/>
      <c r="J139" s="1"/>
      <c r="K139" s="1"/>
      <c r="L139" s="1"/>
      <c r="M139" s="1"/>
      <c r="N139" s="21" t="s">
        <v>560</v>
      </c>
      <c r="O139" s="22"/>
      <c r="P139" s="22" t="str">
        <f t="shared" si="30"/>
        <v>-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3"/>
      <c r="D140" s="13"/>
      <c r="E140" s="1"/>
      <c r="F140" s="13"/>
      <c r="G140" s="1"/>
      <c r="H140" s="1"/>
      <c r="I140" s="1"/>
      <c r="J140" s="1"/>
      <c r="K140" s="1"/>
      <c r="L140" s="1"/>
      <c r="M140" s="1"/>
      <c r="N140" s="21" t="s">
        <v>561</v>
      </c>
      <c r="O140" s="22"/>
      <c r="P140" s="22" t="str">
        <f t="shared" si="30"/>
        <v>-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3"/>
      <c r="D141" s="13"/>
      <c r="E141" s="1"/>
      <c r="F141" s="13"/>
      <c r="G141" s="1"/>
      <c r="H141" s="1"/>
      <c r="I141" s="1"/>
      <c r="J141" s="1"/>
      <c r="K141" s="1"/>
      <c r="L141" s="1"/>
      <c r="M141" s="1"/>
      <c r="N141" s="21" t="s">
        <v>562</v>
      </c>
      <c r="O141" s="22"/>
      <c r="P141" s="22" t="str">
        <f t="shared" si="30"/>
        <v>-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3"/>
      <c r="D142" s="13"/>
      <c r="E142" s="1"/>
      <c r="F142" s="13"/>
      <c r="G142" s="1"/>
      <c r="H142" s="1"/>
      <c r="I142" s="1"/>
      <c r="J142" s="1"/>
      <c r="K142" s="1"/>
      <c r="L142" s="1"/>
      <c r="M142" s="1"/>
      <c r="N142" s="21" t="s">
        <v>563</v>
      </c>
      <c r="O142" s="22"/>
      <c r="P142" s="22" t="str">
        <f t="shared" si="30"/>
        <v>-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3"/>
      <c r="D143" s="13"/>
      <c r="E143" s="1"/>
      <c r="F143" s="13"/>
      <c r="G143" s="1"/>
      <c r="H143" s="1"/>
      <c r="I143" s="1"/>
      <c r="J143" s="1"/>
      <c r="K143" s="1"/>
      <c r="L143" s="1"/>
      <c r="M143" s="1"/>
      <c r="N143" s="21" t="s">
        <v>564</v>
      </c>
      <c r="O143" s="22"/>
      <c r="P143" s="22" t="str">
        <f t="shared" si="30"/>
        <v>-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3"/>
      <c r="D144" s="13"/>
      <c r="E144" s="1"/>
      <c r="F144" s="13"/>
      <c r="G144" s="1"/>
      <c r="H144" s="1"/>
      <c r="I144" s="1"/>
      <c r="J144" s="1"/>
      <c r="K144" s="1"/>
      <c r="L144" s="1"/>
      <c r="M144" s="1"/>
      <c r="N144" s="21" t="s">
        <v>565</v>
      </c>
      <c r="O144" s="22"/>
      <c r="P144" s="22" t="str">
        <f t="shared" si="30"/>
        <v>-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3"/>
      <c r="D145" s="13"/>
      <c r="E145" s="1"/>
      <c r="F145" s="13"/>
      <c r="G145" s="1"/>
      <c r="H145" s="1"/>
      <c r="I145" s="1"/>
      <c r="J145" s="1"/>
      <c r="K145" s="1"/>
      <c r="L145" s="1"/>
      <c r="M145" s="1"/>
      <c r="N145" s="21" t="s">
        <v>566</v>
      </c>
      <c r="O145" s="22"/>
      <c r="P145" s="22" t="str">
        <f t="shared" si="30"/>
        <v>-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3"/>
      <c r="D146" s="13"/>
      <c r="E146" s="1"/>
      <c r="F146" s="13"/>
      <c r="G146" s="1"/>
      <c r="H146" s="1"/>
      <c r="I146" s="1"/>
      <c r="J146" s="1"/>
      <c r="K146" s="1"/>
      <c r="L146" s="1"/>
      <c r="M146" s="1"/>
      <c r="N146" s="21" t="s">
        <v>567</v>
      </c>
      <c r="O146" s="22"/>
      <c r="P146" s="22" t="str">
        <f t="shared" si="30"/>
        <v>-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3"/>
      <c r="D147" s="13"/>
      <c r="E147" s="1"/>
      <c r="F147" s="13"/>
      <c r="G147" s="1"/>
      <c r="H147" s="1"/>
      <c r="I147" s="1"/>
      <c r="J147" s="1"/>
      <c r="K147" s="1"/>
      <c r="L147" s="1"/>
      <c r="M147" s="1"/>
      <c r="N147" s="21" t="s">
        <v>568</v>
      </c>
      <c r="O147" s="22"/>
      <c r="P147" s="22" t="str">
        <f t="shared" si="30"/>
        <v>-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3"/>
      <c r="D148" s="13"/>
      <c r="E148" s="1"/>
      <c r="F148" s="13"/>
      <c r="G148" s="1"/>
      <c r="H148" s="1"/>
      <c r="I148" s="1"/>
      <c r="J148" s="1"/>
      <c r="K148" s="1"/>
      <c r="L148" s="1"/>
      <c r="M148" s="1"/>
      <c r="N148" s="21" t="s">
        <v>569</v>
      </c>
      <c r="O148" s="22"/>
      <c r="P148" s="22" t="str">
        <f t="shared" si="30"/>
        <v>-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3"/>
      <c r="D149" s="13"/>
      <c r="E149" s="1"/>
      <c r="F149" s="13"/>
      <c r="G149" s="1"/>
      <c r="H149" s="1"/>
      <c r="I149" s="1"/>
      <c r="J149" s="1"/>
      <c r="K149" s="1"/>
      <c r="L149" s="1"/>
      <c r="M149" s="1"/>
      <c r="N149" s="21" t="s">
        <v>570</v>
      </c>
      <c r="O149" s="22"/>
      <c r="P149" s="22" t="str">
        <f t="shared" si="30"/>
        <v>-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3"/>
      <c r="D150" s="13"/>
      <c r="E150" s="1"/>
      <c r="F150" s="13"/>
      <c r="G150" s="1"/>
      <c r="H150" s="1"/>
      <c r="I150" s="1"/>
      <c r="J150" s="1"/>
      <c r="K150" s="1"/>
      <c r="L150" s="1"/>
      <c r="M150" s="1"/>
      <c r="N150" s="21" t="s">
        <v>571</v>
      </c>
      <c r="O150" s="22"/>
      <c r="P150" s="22" t="str">
        <f t="shared" si="30"/>
        <v>-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3"/>
      <c r="D151" s="13"/>
      <c r="E151" s="1"/>
      <c r="F151" s="13"/>
      <c r="G151" s="1"/>
      <c r="H151" s="1"/>
      <c r="I151" s="1"/>
      <c r="J151" s="1"/>
      <c r="K151" s="1"/>
      <c r="L151" s="1"/>
      <c r="M151" s="1"/>
      <c r="N151" s="21" t="s">
        <v>572</v>
      </c>
      <c r="O151" s="22"/>
      <c r="P151" s="22" t="str">
        <f t="shared" si="30"/>
        <v>-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3"/>
      <c r="D152" s="13"/>
      <c r="E152" s="1"/>
      <c r="F152" s="13"/>
      <c r="G152" s="1"/>
      <c r="H152" s="1"/>
      <c r="I152" s="1"/>
      <c r="J152" s="1"/>
      <c r="K152" s="1"/>
      <c r="L152" s="1"/>
      <c r="M152" s="1"/>
      <c r="N152" s="21" t="s">
        <v>573</v>
      </c>
      <c r="O152" s="22"/>
      <c r="P152" s="22" t="str">
        <f t="shared" si="30"/>
        <v>-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3"/>
      <c r="D153" s="13"/>
      <c r="E153" s="1"/>
      <c r="F153" s="13"/>
      <c r="G153" s="1"/>
      <c r="H153" s="1"/>
      <c r="I153" s="1"/>
      <c r="J153" s="1"/>
      <c r="K153" s="1"/>
      <c r="L153" s="1"/>
      <c r="M153" s="1"/>
      <c r="N153" s="21" t="s">
        <v>574</v>
      </c>
      <c r="O153" s="22"/>
      <c r="P153" s="22" t="str">
        <f t="shared" si="30"/>
        <v>-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3"/>
      <c r="D154" s="13"/>
      <c r="E154" s="1"/>
      <c r="F154" s="13"/>
      <c r="G154" s="1"/>
      <c r="H154" s="1"/>
      <c r="I154" s="1"/>
      <c r="J154" s="1"/>
      <c r="K154" s="1"/>
      <c r="L154" s="1"/>
      <c r="M154" s="1"/>
      <c r="N154" s="21" t="s">
        <v>575</v>
      </c>
      <c r="O154" s="22"/>
      <c r="P154" s="22" t="str">
        <f t="shared" si="30"/>
        <v>-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3"/>
      <c r="D155" s="13"/>
      <c r="E155" s="1"/>
      <c r="F155" s="13"/>
      <c r="G155" s="1"/>
      <c r="H155" s="1"/>
      <c r="I155" s="1"/>
      <c r="J155" s="1"/>
      <c r="K155" s="1"/>
      <c r="L155" s="1"/>
      <c r="M155" s="1"/>
      <c r="N155" s="21" t="s">
        <v>576</v>
      </c>
      <c r="O155" s="22"/>
      <c r="P155" s="22" t="str">
        <f t="shared" si="30"/>
        <v>-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3"/>
      <c r="D156" s="13"/>
      <c r="E156" s="1"/>
      <c r="F156" s="13"/>
      <c r="G156" s="1"/>
      <c r="H156" s="1"/>
      <c r="I156" s="1"/>
      <c r="J156" s="1"/>
      <c r="K156" s="1"/>
      <c r="L156" s="1"/>
      <c r="M156" s="1"/>
      <c r="N156" s="21" t="s">
        <v>577</v>
      </c>
      <c r="O156" s="22"/>
      <c r="P156" s="22" t="str">
        <f t="shared" si="30"/>
        <v>-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3"/>
      <c r="D157" s="13"/>
      <c r="E157" s="1"/>
      <c r="F157" s="13"/>
      <c r="G157" s="1"/>
      <c r="H157" s="1"/>
      <c r="I157" s="1"/>
      <c r="J157" s="1"/>
      <c r="K157" s="1"/>
      <c r="L157" s="1"/>
      <c r="M157" s="1"/>
      <c r="N157" s="21" t="s">
        <v>578</v>
      </c>
      <c r="O157" s="22"/>
      <c r="P157" s="22" t="str">
        <f t="shared" si="30"/>
        <v>-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3"/>
      <c r="D158" s="13"/>
      <c r="E158" s="1"/>
      <c r="F158" s="13"/>
      <c r="G158" s="1"/>
      <c r="H158" s="1"/>
      <c r="I158" s="1"/>
      <c r="J158" s="1"/>
      <c r="K158" s="1"/>
      <c r="L158" s="1"/>
      <c r="M158" s="1"/>
      <c r="N158" s="21" t="s">
        <v>579</v>
      </c>
      <c r="O158" s="22"/>
      <c r="P158" s="22" t="str">
        <f t="shared" si="30"/>
        <v>-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3"/>
      <c r="D159" s="13"/>
      <c r="E159" s="1"/>
      <c r="F159" s="13"/>
      <c r="G159" s="1"/>
      <c r="H159" s="1"/>
      <c r="I159" s="1"/>
      <c r="J159" s="1"/>
      <c r="K159" s="1"/>
      <c r="L159" s="1"/>
      <c r="M159" s="1"/>
      <c r="N159" s="21" t="s">
        <v>580</v>
      </c>
      <c r="O159" s="22"/>
      <c r="P159" s="22" t="str">
        <f t="shared" si="30"/>
        <v>-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3"/>
      <c r="D160" s="13"/>
      <c r="E160" s="1"/>
      <c r="F160" s="13"/>
      <c r="G160" s="1"/>
      <c r="H160" s="1"/>
      <c r="I160" s="1"/>
      <c r="J160" s="1"/>
      <c r="K160" s="1"/>
      <c r="L160" s="1"/>
      <c r="M160" s="1"/>
      <c r="N160" s="21" t="s">
        <v>581</v>
      </c>
      <c r="O160" s="22"/>
      <c r="P160" s="22" t="str">
        <f t="shared" si="30"/>
        <v>-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3"/>
      <c r="D161" s="13"/>
      <c r="E161" s="1"/>
      <c r="F161" s="13"/>
      <c r="G161" s="1"/>
      <c r="H161" s="1"/>
      <c r="I161" s="1"/>
      <c r="J161" s="1"/>
      <c r="K161" s="1"/>
      <c r="L161" s="1"/>
      <c r="M161" s="1"/>
      <c r="N161" s="21" t="s">
        <v>582</v>
      </c>
      <c r="O161" s="22"/>
      <c r="P161" s="22" t="str">
        <f t="shared" si="30"/>
        <v>-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6.75" customHeight="1">
      <c r="A162" s="1"/>
      <c r="B162" s="1"/>
      <c r="C162" s="13"/>
      <c r="D162" s="13"/>
      <c r="E162" s="1"/>
      <c r="F162" s="13"/>
      <c r="G162" s="1"/>
      <c r="H162" s="1"/>
      <c r="I162" s="1"/>
      <c r="J162" s="1"/>
      <c r="K162" s="1"/>
      <c r="L162" s="1"/>
      <c r="M162" s="1"/>
      <c r="N162" s="21" t="s">
        <v>583</v>
      </c>
      <c r="O162" s="22"/>
      <c r="P162" s="22" t="str">
        <f t="shared" si="30"/>
        <v>-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1"/>
      <c r="C163" s="13"/>
      <c r="D163" s="13"/>
      <c r="E163" s="1"/>
      <c r="F163" s="13"/>
      <c r="G163" s="1"/>
      <c r="H163" s="1"/>
      <c r="I163" s="1"/>
      <c r="J163" s="1"/>
      <c r="K163" s="1"/>
      <c r="L163" s="1"/>
      <c r="M163" s="1"/>
      <c r="N163" s="23" t="s">
        <v>72</v>
      </c>
      <c r="O163" s="16">
        <f>SUM(P134:P162)</f>
        <v>0</v>
      </c>
      <c r="P163" s="18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3"/>
      <c r="D164" s="13"/>
      <c r="E164" s="1"/>
      <c r="F164" s="1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3"/>
      <c r="D165" s="13"/>
      <c r="E165" s="1"/>
      <c r="F165" s="1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3"/>
      <c r="D166" s="13"/>
      <c r="E166" s="1"/>
      <c r="F166" s="1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3"/>
      <c r="D167" s="13"/>
      <c r="E167" s="1"/>
      <c r="F167" s="1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3"/>
      <c r="D168" s="13"/>
      <c r="E168" s="1"/>
      <c r="F168" s="1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3"/>
      <c r="D169" s="13"/>
      <c r="E169" s="1"/>
      <c r="F169" s="1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3"/>
      <c r="D170" s="13"/>
      <c r="E170" s="1"/>
      <c r="F170" s="1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3"/>
      <c r="D171" s="13"/>
      <c r="E171" s="1"/>
      <c r="F171" s="1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3"/>
      <c r="D172" s="13"/>
      <c r="E172" s="1"/>
      <c r="F172" s="1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3"/>
      <c r="D173" s="13"/>
      <c r="E173" s="1"/>
      <c r="F173" s="1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3"/>
      <c r="D174" s="13"/>
      <c r="E174" s="1"/>
      <c r="F174" s="1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3"/>
      <c r="D175" s="13"/>
      <c r="E175" s="1"/>
      <c r="F175" s="1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3"/>
      <c r="D176" s="13"/>
      <c r="E176" s="1"/>
      <c r="F176" s="1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3"/>
      <c r="D177" s="13"/>
      <c r="E177" s="1"/>
      <c r="F177" s="1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3"/>
      <c r="D178" s="13"/>
      <c r="E178" s="1"/>
      <c r="F178" s="1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3"/>
      <c r="D179" s="13"/>
      <c r="E179" s="1"/>
      <c r="F179" s="1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3"/>
      <c r="D180" s="13"/>
      <c r="E180" s="1"/>
      <c r="F180" s="1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3"/>
      <c r="D181" s="13"/>
      <c r="E181" s="1"/>
      <c r="F181" s="1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3"/>
      <c r="D182" s="13"/>
      <c r="E182" s="1"/>
      <c r="F182" s="1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3"/>
      <c r="D183" s="13"/>
      <c r="E183" s="1"/>
      <c r="F183" s="1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3"/>
      <c r="D184" s="13"/>
      <c r="E184" s="1"/>
      <c r="F184" s="1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3"/>
      <c r="D185" s="13"/>
      <c r="E185" s="1"/>
      <c r="F185" s="1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3"/>
      <c r="D186" s="13"/>
      <c r="E186" s="1"/>
      <c r="F186" s="1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3"/>
      <c r="D187" s="13"/>
      <c r="E187" s="1"/>
      <c r="F187" s="1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3"/>
      <c r="D188" s="13"/>
      <c r="E188" s="1"/>
      <c r="F188" s="1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3"/>
      <c r="D189" s="13"/>
      <c r="E189" s="1"/>
      <c r="F189" s="1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3"/>
      <c r="D190" s="13"/>
      <c r="E190" s="1"/>
      <c r="F190" s="1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3"/>
      <c r="D191" s="13"/>
      <c r="E191" s="1"/>
      <c r="F191" s="1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3"/>
      <c r="D192" s="13"/>
      <c r="E192" s="1"/>
      <c r="F192" s="1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3"/>
      <c r="D193" s="13"/>
      <c r="E193" s="1"/>
      <c r="F193" s="1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3"/>
      <c r="D194" s="13"/>
      <c r="E194" s="1"/>
      <c r="F194" s="1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3"/>
      <c r="D195" s="13"/>
      <c r="E195" s="1"/>
      <c r="F195" s="1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3"/>
      <c r="D196" s="13"/>
      <c r="E196" s="1"/>
      <c r="F196" s="1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3"/>
      <c r="D197" s="13"/>
      <c r="E197" s="1"/>
      <c r="F197" s="1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3"/>
      <c r="D198" s="13"/>
      <c r="E198" s="1"/>
      <c r="F198" s="1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3"/>
      <c r="D199" s="13"/>
      <c r="E199" s="1"/>
      <c r="F199" s="1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3"/>
      <c r="D200" s="13"/>
      <c r="E200" s="1"/>
      <c r="F200" s="1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3"/>
      <c r="D201" s="13"/>
      <c r="E201" s="1"/>
      <c r="F201" s="1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3"/>
      <c r="D202" s="13"/>
      <c r="E202" s="1"/>
      <c r="F202" s="1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3"/>
      <c r="D203" s="13"/>
      <c r="E203" s="1"/>
      <c r="F203" s="1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3"/>
      <c r="D204" s="13"/>
      <c r="E204" s="1"/>
      <c r="F204" s="1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3"/>
      <c r="D205" s="13"/>
      <c r="E205" s="1"/>
      <c r="F205" s="1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3"/>
      <c r="D206" s="13"/>
      <c r="E206" s="1"/>
      <c r="F206" s="1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3"/>
      <c r="D207" s="13"/>
      <c r="E207" s="1"/>
      <c r="F207" s="1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3"/>
      <c r="D208" s="13"/>
      <c r="E208" s="1"/>
      <c r="F208" s="1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3"/>
      <c r="D209" s="13"/>
      <c r="E209" s="1"/>
      <c r="F209" s="1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3"/>
      <c r="D210" s="13"/>
      <c r="E210" s="1"/>
      <c r="F210" s="1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3"/>
      <c r="D211" s="13"/>
      <c r="E211" s="1"/>
      <c r="F211" s="1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3"/>
      <c r="D212" s="13"/>
      <c r="E212" s="1"/>
      <c r="F212" s="1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3"/>
      <c r="D213" s="13"/>
      <c r="E213" s="1"/>
      <c r="F213" s="1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3"/>
      <c r="D214" s="13"/>
      <c r="E214" s="1"/>
      <c r="F214" s="1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3"/>
      <c r="D215" s="13"/>
      <c r="E215" s="1"/>
      <c r="F215" s="1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3"/>
      <c r="D216" s="13"/>
      <c r="E216" s="1"/>
      <c r="F216" s="1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3"/>
      <c r="D217" s="13"/>
      <c r="E217" s="1"/>
      <c r="F217" s="1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3"/>
      <c r="D218" s="13"/>
      <c r="E218" s="1"/>
      <c r="F218" s="1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3"/>
      <c r="D219" s="13"/>
      <c r="E219" s="1"/>
      <c r="F219" s="1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3"/>
      <c r="D220" s="13"/>
      <c r="E220" s="1"/>
      <c r="F220" s="1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3"/>
      <c r="D221" s="13"/>
      <c r="E221" s="1"/>
      <c r="F221" s="1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3"/>
      <c r="D222" s="13"/>
      <c r="E222" s="1"/>
      <c r="F222" s="1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3"/>
      <c r="D223" s="13"/>
      <c r="E223" s="1"/>
      <c r="F223" s="1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3"/>
      <c r="D224" s="13"/>
      <c r="E224" s="1"/>
      <c r="F224" s="1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3"/>
      <c r="D225" s="13"/>
      <c r="E225" s="1"/>
      <c r="F225" s="1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3"/>
      <c r="D226" s="13"/>
      <c r="E226" s="1"/>
      <c r="F226" s="1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3"/>
      <c r="D227" s="13"/>
      <c r="E227" s="1"/>
      <c r="F227" s="1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3"/>
      <c r="D228" s="13"/>
      <c r="E228" s="1"/>
      <c r="F228" s="1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3"/>
      <c r="D229" s="13"/>
      <c r="E229" s="1"/>
      <c r="F229" s="1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3"/>
      <c r="D230" s="13"/>
      <c r="E230" s="1"/>
      <c r="F230" s="1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3"/>
      <c r="D231" s="13"/>
      <c r="E231" s="1"/>
      <c r="F231" s="1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3"/>
      <c r="D232" s="13"/>
      <c r="E232" s="1"/>
      <c r="F232" s="1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3"/>
      <c r="D233" s="13"/>
      <c r="E233" s="1"/>
      <c r="F233" s="1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3"/>
      <c r="D234" s="13"/>
      <c r="E234" s="1"/>
      <c r="F234" s="1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3"/>
      <c r="D235" s="13"/>
      <c r="E235" s="1"/>
      <c r="F235" s="1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3"/>
      <c r="D236" s="13"/>
      <c r="E236" s="1"/>
      <c r="F236" s="1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3"/>
      <c r="D237" s="13"/>
      <c r="E237" s="1"/>
      <c r="F237" s="1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3"/>
      <c r="D238" s="13"/>
      <c r="E238" s="1"/>
      <c r="F238" s="1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3"/>
      <c r="D239" s="13"/>
      <c r="E239" s="1"/>
      <c r="F239" s="1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3"/>
      <c r="D240" s="13"/>
      <c r="E240" s="1"/>
      <c r="F240" s="1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3"/>
      <c r="D241" s="13"/>
      <c r="E241" s="1"/>
      <c r="F241" s="1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3"/>
      <c r="D242" s="13"/>
      <c r="E242" s="1"/>
      <c r="F242" s="1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3"/>
      <c r="D243" s="13"/>
      <c r="E243" s="1"/>
      <c r="F243" s="1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3"/>
      <c r="D244" s="13"/>
      <c r="E244" s="1"/>
      <c r="F244" s="1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3"/>
      <c r="D245" s="13"/>
      <c r="E245" s="1"/>
      <c r="F245" s="1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3"/>
      <c r="D246" s="13"/>
      <c r="E246" s="1"/>
      <c r="F246" s="1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3"/>
      <c r="D247" s="13"/>
      <c r="E247" s="1"/>
      <c r="F247" s="1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3"/>
      <c r="D248" s="13"/>
      <c r="E248" s="1"/>
      <c r="F248" s="1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3"/>
      <c r="D249" s="13"/>
      <c r="E249" s="1"/>
      <c r="F249" s="1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3"/>
      <c r="D250" s="13"/>
      <c r="E250" s="1"/>
      <c r="F250" s="1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3"/>
      <c r="D251" s="13"/>
      <c r="E251" s="1"/>
      <c r="F251" s="1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3"/>
      <c r="D252" s="13"/>
      <c r="E252" s="1"/>
      <c r="F252" s="1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3"/>
      <c r="D253" s="13"/>
      <c r="E253" s="1"/>
      <c r="F253" s="1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3"/>
      <c r="D254" s="13"/>
      <c r="E254" s="1"/>
      <c r="F254" s="1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3"/>
      <c r="D255" s="13"/>
      <c r="E255" s="1"/>
      <c r="F255" s="1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3"/>
      <c r="D256" s="13"/>
      <c r="E256" s="1"/>
      <c r="F256" s="1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3"/>
      <c r="D257" s="13"/>
      <c r="E257" s="1"/>
      <c r="F257" s="1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3"/>
      <c r="D258" s="13"/>
      <c r="E258" s="1"/>
      <c r="F258" s="1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3"/>
      <c r="D259" s="13"/>
      <c r="E259" s="1"/>
      <c r="F259" s="1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3"/>
      <c r="D260" s="13"/>
      <c r="E260" s="1"/>
      <c r="F260" s="1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3"/>
      <c r="D261" s="13"/>
      <c r="E261" s="1"/>
      <c r="F261" s="1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3"/>
      <c r="D262" s="13"/>
      <c r="E262" s="1"/>
      <c r="F262" s="1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3"/>
      <c r="D263" s="13"/>
      <c r="E263" s="1"/>
      <c r="F263" s="1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3"/>
      <c r="D264" s="13"/>
      <c r="E264" s="1"/>
      <c r="F264" s="1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3"/>
      <c r="D265" s="13"/>
      <c r="E265" s="1"/>
      <c r="F265" s="1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3"/>
      <c r="D266" s="13"/>
      <c r="E266" s="1"/>
      <c r="F266" s="1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3"/>
      <c r="D267" s="13"/>
      <c r="E267" s="1"/>
      <c r="F267" s="1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3"/>
      <c r="D268" s="13"/>
      <c r="E268" s="1"/>
      <c r="F268" s="1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3"/>
      <c r="D269" s="13"/>
      <c r="E269" s="1"/>
      <c r="F269" s="1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3"/>
      <c r="D270" s="13"/>
      <c r="E270" s="1"/>
      <c r="F270" s="1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3"/>
      <c r="D271" s="13"/>
      <c r="E271" s="1"/>
      <c r="F271" s="1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3"/>
      <c r="D272" s="13"/>
      <c r="E272" s="1"/>
      <c r="F272" s="1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3"/>
      <c r="D273" s="13"/>
      <c r="E273" s="1"/>
      <c r="F273" s="1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3"/>
      <c r="D274" s="13"/>
      <c r="E274" s="1"/>
      <c r="F274" s="1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3"/>
      <c r="D275" s="13"/>
      <c r="E275" s="1"/>
      <c r="F275" s="1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3"/>
      <c r="D276" s="13"/>
      <c r="E276" s="1"/>
      <c r="F276" s="1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 t="s">
        <v>584</v>
      </c>
      <c r="C277" s="13"/>
      <c r="D277" s="13"/>
      <c r="E277" s="1"/>
      <c r="F277" s="1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3"/>
      <c r="D278" s="13"/>
      <c r="E278" s="1"/>
      <c r="F278" s="1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 t="s">
        <v>585</v>
      </c>
      <c r="C279" s="13"/>
      <c r="D279" s="13"/>
      <c r="E279" s="1"/>
      <c r="F279" s="1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3"/>
      <c r="D280" s="13"/>
      <c r="E280" s="1"/>
      <c r="F280" s="1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 t="s">
        <v>586</v>
      </c>
      <c r="C281" s="13"/>
      <c r="D281" s="13"/>
      <c r="E281" s="1"/>
      <c r="F281" s="1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3"/>
      <c r="D282" s="13"/>
      <c r="E282" s="1"/>
      <c r="F282" s="1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 t="s">
        <v>587</v>
      </c>
      <c r="C283" s="13"/>
      <c r="D283" s="13"/>
      <c r="E283" s="1"/>
      <c r="F283" s="1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3"/>
      <c r="D284" s="13"/>
      <c r="E284" s="1"/>
      <c r="F284" s="1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 t="s">
        <v>588</v>
      </c>
      <c r="C285" s="13"/>
      <c r="D285" s="13"/>
      <c r="E285" s="1"/>
      <c r="F285" s="1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3"/>
      <c r="D286" s="13"/>
      <c r="E286" s="1"/>
      <c r="F286" s="1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 t="s">
        <v>589</v>
      </c>
      <c r="C287" s="13"/>
      <c r="D287" s="13"/>
      <c r="E287" s="1"/>
      <c r="F287" s="1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3"/>
      <c r="D288" s="13"/>
      <c r="E288" s="1"/>
      <c r="F288" s="1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 t="s">
        <v>590</v>
      </c>
      <c r="C289" s="13"/>
      <c r="D289" s="13"/>
      <c r="E289" s="1"/>
      <c r="F289" s="1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3"/>
      <c r="D290" s="13"/>
      <c r="E290" s="1"/>
      <c r="F290" s="1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 t="s">
        <v>591</v>
      </c>
      <c r="C291" s="13"/>
      <c r="D291" s="13"/>
      <c r="E291" s="1"/>
      <c r="F291" s="1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3"/>
      <c r="D292" s="13"/>
      <c r="E292" s="1"/>
      <c r="F292" s="1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3"/>
      <c r="D293" s="13"/>
      <c r="E293" s="1"/>
      <c r="F293" s="1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3"/>
      <c r="D294" s="13"/>
      <c r="E294" s="1"/>
      <c r="F294" s="1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3"/>
      <c r="D295" s="13"/>
      <c r="E295" s="1"/>
      <c r="F295" s="1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3"/>
      <c r="D296" s="13"/>
      <c r="E296" s="1"/>
      <c r="F296" s="1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3"/>
      <c r="D297" s="13"/>
      <c r="E297" s="1"/>
      <c r="F297" s="1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3"/>
      <c r="D298" s="13"/>
      <c r="E298" s="1"/>
      <c r="F298" s="1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3"/>
      <c r="D299" s="13"/>
      <c r="E299" s="1"/>
      <c r="F299" s="1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3"/>
      <c r="D300" s="13"/>
      <c r="E300" s="1"/>
      <c r="F300" s="1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3"/>
      <c r="D301" s="13"/>
      <c r="E301" s="1"/>
      <c r="F301" s="1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3"/>
      <c r="D302" s="13"/>
      <c r="E302" s="1"/>
      <c r="F302" s="1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3"/>
      <c r="D303" s="13"/>
      <c r="E303" s="1"/>
      <c r="F303" s="1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3"/>
      <c r="D304" s="13"/>
      <c r="E304" s="1"/>
      <c r="F304" s="1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3"/>
      <c r="D305" s="13"/>
      <c r="E305" s="1"/>
      <c r="F305" s="1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3"/>
      <c r="D306" s="13"/>
      <c r="E306" s="1"/>
      <c r="F306" s="1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3"/>
      <c r="D307" s="13"/>
      <c r="E307" s="1"/>
      <c r="F307" s="1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3"/>
      <c r="D308" s="13"/>
      <c r="E308" s="1"/>
      <c r="F308" s="1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3"/>
      <c r="D309" s="13"/>
      <c r="E309" s="1"/>
      <c r="F309" s="1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3"/>
      <c r="D310" s="13"/>
      <c r="E310" s="1"/>
      <c r="F310" s="1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3"/>
      <c r="D311" s="13"/>
      <c r="E311" s="1"/>
      <c r="F311" s="1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3"/>
      <c r="D312" s="13"/>
      <c r="E312" s="1"/>
      <c r="F312" s="1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3"/>
      <c r="D313" s="13"/>
      <c r="E313" s="1"/>
      <c r="F313" s="1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3"/>
      <c r="D314" s="13"/>
      <c r="E314" s="1"/>
      <c r="F314" s="1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3"/>
      <c r="D315" s="13"/>
      <c r="E315" s="1"/>
      <c r="F315" s="1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3"/>
      <c r="D316" s="13"/>
      <c r="E316" s="1"/>
      <c r="F316" s="1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3"/>
      <c r="D317" s="13"/>
      <c r="E317" s="1"/>
      <c r="F317" s="1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3"/>
      <c r="D318" s="13"/>
      <c r="E318" s="1"/>
      <c r="F318" s="1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3"/>
      <c r="D319" s="13"/>
      <c r="E319" s="1"/>
      <c r="F319" s="1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3"/>
      <c r="D320" s="13"/>
      <c r="E320" s="1"/>
      <c r="F320" s="1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3"/>
      <c r="D321" s="13"/>
      <c r="E321" s="1"/>
      <c r="F321" s="1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3"/>
      <c r="D322" s="13"/>
      <c r="E322" s="1"/>
      <c r="F322" s="1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3"/>
      <c r="D323" s="13"/>
      <c r="E323" s="1"/>
      <c r="F323" s="1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3"/>
      <c r="D324" s="13"/>
      <c r="E324" s="1"/>
      <c r="F324" s="1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3"/>
      <c r="D325" s="13"/>
      <c r="E325" s="1"/>
      <c r="F325" s="1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3"/>
      <c r="D326" s="13"/>
      <c r="E326" s="1"/>
      <c r="F326" s="1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3"/>
      <c r="D327" s="13"/>
      <c r="E327" s="1"/>
      <c r="F327" s="1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3"/>
      <c r="D328" s="13"/>
      <c r="E328" s="1"/>
      <c r="F328" s="1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3"/>
      <c r="D329" s="13"/>
      <c r="E329" s="1"/>
      <c r="F329" s="1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3"/>
      <c r="D330" s="13"/>
      <c r="E330" s="1"/>
      <c r="F330" s="1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3"/>
      <c r="D331" s="13"/>
      <c r="E331" s="1"/>
      <c r="F331" s="1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3"/>
      <c r="D332" s="13"/>
      <c r="E332" s="1"/>
      <c r="F332" s="1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3"/>
      <c r="D333" s="13"/>
      <c r="E333" s="1"/>
      <c r="F333" s="1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3"/>
      <c r="D334" s="13"/>
      <c r="E334" s="1"/>
      <c r="F334" s="1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3"/>
      <c r="D335" s="13"/>
      <c r="E335" s="1"/>
      <c r="F335" s="1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3"/>
      <c r="D336" s="13"/>
      <c r="E336" s="1"/>
      <c r="F336" s="1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3"/>
      <c r="D337" s="13"/>
      <c r="E337" s="1"/>
      <c r="F337" s="1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3"/>
      <c r="D338" s="13"/>
      <c r="E338" s="1"/>
      <c r="F338" s="1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3"/>
      <c r="D339" s="13"/>
      <c r="E339" s="1"/>
      <c r="F339" s="1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3"/>
      <c r="D340" s="13"/>
      <c r="E340" s="1"/>
      <c r="F340" s="1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3"/>
      <c r="D341" s="13"/>
      <c r="E341" s="1"/>
      <c r="F341" s="1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3"/>
      <c r="D342" s="13"/>
      <c r="E342" s="1"/>
      <c r="F342" s="1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3"/>
      <c r="D343" s="13"/>
      <c r="E343" s="1"/>
      <c r="F343" s="1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3"/>
      <c r="D344" s="13"/>
      <c r="E344" s="1"/>
      <c r="F344" s="1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3"/>
      <c r="D345" s="13"/>
      <c r="E345" s="1"/>
      <c r="F345" s="1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3"/>
      <c r="D346" s="13"/>
      <c r="E346" s="1"/>
      <c r="F346" s="1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3"/>
      <c r="D347" s="13"/>
      <c r="E347" s="1"/>
      <c r="F347" s="1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3"/>
      <c r="D348" s="13"/>
      <c r="E348" s="1"/>
      <c r="F348" s="1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3"/>
      <c r="D349" s="13"/>
      <c r="E349" s="1"/>
      <c r="F349" s="1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3"/>
      <c r="D350" s="13"/>
      <c r="E350" s="1"/>
      <c r="F350" s="1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3"/>
      <c r="D351" s="13"/>
      <c r="E351" s="1"/>
      <c r="F351" s="1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3"/>
      <c r="D352" s="13"/>
      <c r="E352" s="1"/>
      <c r="F352" s="1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3"/>
      <c r="D353" s="13"/>
      <c r="E353" s="1"/>
      <c r="F353" s="1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3"/>
      <c r="D354" s="13"/>
      <c r="E354" s="1"/>
      <c r="F354" s="1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3"/>
      <c r="D355" s="13"/>
      <c r="E355" s="1"/>
      <c r="F355" s="1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3"/>
      <c r="D356" s="13"/>
      <c r="E356" s="1"/>
      <c r="F356" s="1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3"/>
      <c r="D357" s="13"/>
      <c r="E357" s="1"/>
      <c r="F357" s="1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3"/>
      <c r="D358" s="13"/>
      <c r="E358" s="1"/>
      <c r="F358" s="1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3"/>
      <c r="D359" s="13"/>
      <c r="E359" s="1"/>
      <c r="F359" s="1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3"/>
      <c r="D360" s="13"/>
      <c r="E360" s="1"/>
      <c r="F360" s="1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3"/>
      <c r="D361" s="13"/>
      <c r="E361" s="1"/>
      <c r="F361" s="1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3"/>
      <c r="D362" s="13"/>
      <c r="E362" s="1"/>
      <c r="F362" s="1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3"/>
      <c r="D363" s="13"/>
      <c r="E363" s="1"/>
      <c r="F363" s="1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3"/>
      <c r="D364" s="13"/>
      <c r="E364" s="1"/>
      <c r="F364" s="1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3"/>
      <c r="D365" s="13"/>
      <c r="E365" s="1"/>
      <c r="F365" s="1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3"/>
      <c r="D366" s="13"/>
      <c r="E366" s="1"/>
      <c r="F366" s="1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3"/>
      <c r="D367" s="13"/>
      <c r="E367" s="1"/>
      <c r="F367" s="1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3"/>
      <c r="D368" s="13"/>
      <c r="E368" s="1"/>
      <c r="F368" s="1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3"/>
      <c r="D369" s="13"/>
      <c r="E369" s="1"/>
      <c r="F369" s="1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3"/>
      <c r="D370" s="13"/>
      <c r="E370" s="1"/>
      <c r="F370" s="1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3"/>
      <c r="D371" s="13"/>
      <c r="E371" s="1"/>
      <c r="F371" s="1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3"/>
      <c r="D372" s="13"/>
      <c r="E372" s="1"/>
      <c r="F372" s="1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3"/>
      <c r="D373" s="13"/>
      <c r="E373" s="1"/>
      <c r="F373" s="1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3"/>
      <c r="D374" s="13"/>
      <c r="E374" s="1"/>
      <c r="F374" s="1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3"/>
      <c r="D375" s="13"/>
      <c r="E375" s="1"/>
      <c r="F375" s="1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3"/>
      <c r="D376" s="13"/>
      <c r="E376" s="1"/>
      <c r="F376" s="1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3"/>
      <c r="D377" s="13"/>
      <c r="E377" s="1"/>
      <c r="F377" s="1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3"/>
      <c r="D378" s="13"/>
      <c r="E378" s="1"/>
      <c r="F378" s="1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3"/>
      <c r="D379" s="13"/>
      <c r="E379" s="1"/>
      <c r="F379" s="1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3"/>
      <c r="D380" s="13"/>
      <c r="E380" s="1"/>
      <c r="F380" s="1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3"/>
      <c r="D381" s="13"/>
      <c r="E381" s="1"/>
      <c r="F381" s="1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3"/>
      <c r="D382" s="13"/>
      <c r="E382" s="1"/>
      <c r="F382" s="1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3"/>
      <c r="D383" s="13"/>
      <c r="E383" s="1"/>
      <c r="F383" s="1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3"/>
      <c r="D384" s="13"/>
      <c r="E384" s="1"/>
      <c r="F384" s="1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3"/>
      <c r="D385" s="13"/>
      <c r="E385" s="1"/>
      <c r="F385" s="1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3"/>
      <c r="D386" s="13"/>
      <c r="E386" s="1"/>
      <c r="F386" s="1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3"/>
      <c r="D387" s="13"/>
      <c r="E387" s="1"/>
      <c r="F387" s="1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3"/>
      <c r="D388" s="13"/>
      <c r="E388" s="1"/>
      <c r="F388" s="1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3"/>
      <c r="D389" s="13"/>
      <c r="E389" s="1"/>
      <c r="F389" s="1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3"/>
      <c r="D390" s="13"/>
      <c r="E390" s="1"/>
      <c r="F390" s="1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3"/>
      <c r="D391" s="13"/>
      <c r="E391" s="1"/>
      <c r="F391" s="1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3"/>
      <c r="D392" s="13"/>
      <c r="E392" s="1"/>
      <c r="F392" s="1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3"/>
      <c r="D393" s="13"/>
      <c r="E393" s="1"/>
      <c r="F393" s="1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3"/>
      <c r="D394" s="13"/>
      <c r="E394" s="1"/>
      <c r="F394" s="1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3"/>
      <c r="D395" s="13"/>
      <c r="E395" s="1"/>
      <c r="F395" s="1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3"/>
      <c r="D396" s="13"/>
      <c r="E396" s="1"/>
      <c r="F396" s="1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3"/>
      <c r="D397" s="13"/>
      <c r="E397" s="1"/>
      <c r="F397" s="1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3"/>
      <c r="D398" s="13"/>
      <c r="E398" s="1"/>
      <c r="F398" s="1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3"/>
      <c r="D399" s="13"/>
      <c r="E399" s="1"/>
      <c r="F399" s="1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3"/>
      <c r="D400" s="13"/>
      <c r="E400" s="1"/>
      <c r="F400" s="1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3"/>
      <c r="D401" s="13"/>
      <c r="E401" s="1"/>
      <c r="F401" s="1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3"/>
      <c r="D402" s="13"/>
      <c r="E402" s="1"/>
      <c r="F402" s="1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3"/>
      <c r="D403" s="13"/>
      <c r="E403" s="1"/>
      <c r="F403" s="1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3"/>
      <c r="D404" s="13"/>
      <c r="E404" s="1"/>
      <c r="F404" s="1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3"/>
      <c r="D405" s="13"/>
      <c r="E405" s="1"/>
      <c r="F405" s="1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3"/>
      <c r="D406" s="13"/>
      <c r="E406" s="1"/>
      <c r="F406" s="1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3"/>
      <c r="D407" s="13"/>
      <c r="E407" s="1"/>
      <c r="F407" s="1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3"/>
      <c r="D408" s="13"/>
      <c r="E408" s="1"/>
      <c r="F408" s="1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3"/>
      <c r="D409" s="13"/>
      <c r="E409" s="1"/>
      <c r="F409" s="1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3"/>
      <c r="D410" s="13"/>
      <c r="E410" s="1"/>
      <c r="F410" s="1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3"/>
      <c r="D411" s="13"/>
      <c r="E411" s="1"/>
      <c r="F411" s="1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3"/>
      <c r="D412" s="13"/>
      <c r="E412" s="1"/>
      <c r="F412" s="1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3"/>
      <c r="D413" s="13"/>
      <c r="E413" s="1"/>
      <c r="F413" s="1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3"/>
      <c r="D414" s="13"/>
      <c r="E414" s="1"/>
      <c r="F414" s="1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3"/>
      <c r="D415" s="13"/>
      <c r="E415" s="1"/>
      <c r="F415" s="1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3"/>
      <c r="D416" s="13"/>
      <c r="E416" s="1"/>
      <c r="F416" s="1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3"/>
      <c r="D417" s="13"/>
      <c r="E417" s="1"/>
      <c r="F417" s="1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3"/>
      <c r="D418" s="13"/>
      <c r="E418" s="1"/>
      <c r="F418" s="1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3"/>
      <c r="D419" s="13"/>
      <c r="E419" s="1"/>
      <c r="F419" s="1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3"/>
      <c r="D420" s="13"/>
      <c r="E420" s="1"/>
      <c r="F420" s="1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3"/>
      <c r="D421" s="13"/>
      <c r="E421" s="1"/>
      <c r="F421" s="1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3"/>
      <c r="D422" s="13"/>
      <c r="E422" s="1"/>
      <c r="F422" s="1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3"/>
      <c r="D423" s="13"/>
      <c r="E423" s="1"/>
      <c r="F423" s="1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3"/>
      <c r="D424" s="13"/>
      <c r="E424" s="1"/>
      <c r="F424" s="1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3"/>
      <c r="D425" s="13"/>
      <c r="E425" s="1"/>
      <c r="F425" s="1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3"/>
      <c r="D426" s="13"/>
      <c r="E426" s="1"/>
      <c r="F426" s="1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3"/>
      <c r="D427" s="13"/>
      <c r="E427" s="1"/>
      <c r="F427" s="1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3"/>
      <c r="D428" s="13"/>
      <c r="E428" s="1"/>
      <c r="F428" s="1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3"/>
      <c r="D429" s="13"/>
      <c r="E429" s="1"/>
      <c r="F429" s="1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3"/>
      <c r="D430" s="13"/>
      <c r="E430" s="1"/>
      <c r="F430" s="1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3"/>
      <c r="D431" s="13"/>
      <c r="E431" s="1"/>
      <c r="F431" s="1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3"/>
      <c r="D432" s="13"/>
      <c r="E432" s="1"/>
      <c r="F432" s="1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3"/>
      <c r="D433" s="13"/>
      <c r="E433" s="1"/>
      <c r="F433" s="1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3"/>
      <c r="D434" s="13"/>
      <c r="E434" s="1"/>
      <c r="F434" s="1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3"/>
      <c r="D435" s="13"/>
      <c r="E435" s="1"/>
      <c r="F435" s="1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3"/>
      <c r="D436" s="13"/>
      <c r="E436" s="1"/>
      <c r="F436" s="1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3"/>
      <c r="D437" s="13"/>
      <c r="E437" s="1"/>
      <c r="F437" s="1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3"/>
      <c r="D438" s="13"/>
      <c r="E438" s="1"/>
      <c r="F438" s="1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3"/>
      <c r="D439" s="13"/>
      <c r="E439" s="1"/>
      <c r="F439" s="1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3"/>
      <c r="D440" s="13"/>
      <c r="E440" s="1"/>
      <c r="F440" s="1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3"/>
      <c r="D441" s="13"/>
      <c r="E441" s="1"/>
      <c r="F441" s="1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3"/>
      <c r="D442" s="13"/>
      <c r="E442" s="1"/>
      <c r="F442" s="1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3"/>
      <c r="D443" s="13"/>
      <c r="E443" s="1"/>
      <c r="F443" s="1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3"/>
      <c r="D444" s="13"/>
      <c r="E444" s="1"/>
      <c r="F444" s="1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3"/>
      <c r="D445" s="13"/>
      <c r="E445" s="1"/>
      <c r="F445" s="1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3"/>
      <c r="D446" s="13"/>
      <c r="E446" s="1"/>
      <c r="F446" s="1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3"/>
      <c r="D447" s="13"/>
      <c r="E447" s="1"/>
      <c r="F447" s="1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3"/>
      <c r="D448" s="13"/>
      <c r="E448" s="1"/>
      <c r="F448" s="1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3"/>
      <c r="D449" s="13"/>
      <c r="E449" s="1"/>
      <c r="F449" s="1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3"/>
      <c r="D450" s="13"/>
      <c r="E450" s="1"/>
      <c r="F450" s="1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3"/>
      <c r="D451" s="13"/>
      <c r="E451" s="1"/>
      <c r="F451" s="1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3"/>
      <c r="D452" s="13"/>
      <c r="E452" s="1"/>
      <c r="F452" s="1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3"/>
      <c r="D453" s="13"/>
      <c r="E453" s="1"/>
      <c r="F453" s="1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3"/>
      <c r="D454" s="13"/>
      <c r="E454" s="1"/>
      <c r="F454" s="1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3"/>
      <c r="D455" s="13"/>
      <c r="E455" s="1"/>
      <c r="F455" s="1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3"/>
      <c r="D456" s="13"/>
      <c r="E456" s="1"/>
      <c r="F456" s="1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3"/>
      <c r="D457" s="13"/>
      <c r="E457" s="1"/>
      <c r="F457" s="1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3"/>
      <c r="D458" s="13"/>
      <c r="E458" s="1"/>
      <c r="F458" s="1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3"/>
      <c r="D459" s="13"/>
      <c r="E459" s="1"/>
      <c r="F459" s="1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3"/>
      <c r="D460" s="13"/>
      <c r="E460" s="1"/>
      <c r="F460" s="1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3"/>
      <c r="D461" s="13"/>
      <c r="E461" s="1"/>
      <c r="F461" s="1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3"/>
      <c r="D462" s="13"/>
      <c r="E462" s="1"/>
      <c r="F462" s="1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3"/>
      <c r="D463" s="13"/>
      <c r="E463" s="1"/>
      <c r="F463" s="1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3"/>
      <c r="D464" s="13"/>
      <c r="E464" s="1"/>
      <c r="F464" s="1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3"/>
      <c r="D465" s="13"/>
      <c r="E465" s="1"/>
      <c r="F465" s="1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3"/>
      <c r="D466" s="13"/>
      <c r="E466" s="1"/>
      <c r="F466" s="1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3"/>
      <c r="D467" s="13"/>
      <c r="E467" s="1"/>
      <c r="F467" s="1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3"/>
      <c r="D468" s="13"/>
      <c r="E468" s="1"/>
      <c r="F468" s="1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3"/>
      <c r="D469" s="13"/>
      <c r="E469" s="1"/>
      <c r="F469" s="1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3"/>
      <c r="D470" s="13"/>
      <c r="E470" s="1"/>
      <c r="F470" s="1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3"/>
      <c r="D471" s="13"/>
      <c r="E471" s="1"/>
      <c r="F471" s="1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3"/>
      <c r="D472" s="13"/>
      <c r="E472" s="1"/>
      <c r="F472" s="1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3"/>
      <c r="D473" s="13"/>
      <c r="E473" s="1"/>
      <c r="F473" s="1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3"/>
      <c r="D474" s="13"/>
      <c r="E474" s="1"/>
      <c r="F474" s="1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3"/>
      <c r="D475" s="13"/>
      <c r="E475" s="1"/>
      <c r="F475" s="1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3"/>
      <c r="D476" s="13"/>
      <c r="E476" s="1"/>
      <c r="F476" s="1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3"/>
      <c r="D477" s="13"/>
      <c r="E477" s="1"/>
      <c r="F477" s="1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3"/>
      <c r="D478" s="13"/>
      <c r="E478" s="1"/>
      <c r="F478" s="1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3"/>
      <c r="D479" s="13"/>
      <c r="E479" s="1"/>
      <c r="F479" s="1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3"/>
      <c r="D480" s="13"/>
      <c r="E480" s="1"/>
      <c r="F480" s="1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3"/>
      <c r="D481" s="13"/>
      <c r="E481" s="1"/>
      <c r="F481" s="1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3"/>
      <c r="D482" s="13"/>
      <c r="E482" s="1"/>
      <c r="F482" s="1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3"/>
      <c r="D483" s="13"/>
      <c r="E483" s="1"/>
      <c r="F483" s="1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3"/>
      <c r="D484" s="13"/>
      <c r="E484" s="1"/>
      <c r="F484" s="1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3"/>
      <c r="D485" s="13"/>
      <c r="E485" s="1"/>
      <c r="F485" s="1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3"/>
      <c r="D486" s="13"/>
      <c r="E486" s="1"/>
      <c r="F486" s="1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3"/>
      <c r="D487" s="13"/>
      <c r="E487" s="1"/>
      <c r="F487" s="1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3"/>
      <c r="D488" s="13"/>
      <c r="E488" s="1"/>
      <c r="F488" s="1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3"/>
      <c r="D489" s="13"/>
      <c r="E489" s="1"/>
      <c r="F489" s="1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3"/>
      <c r="D490" s="13"/>
      <c r="E490" s="1"/>
      <c r="F490" s="1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3"/>
      <c r="D491" s="13"/>
      <c r="E491" s="1"/>
      <c r="F491" s="1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3"/>
      <c r="D492" s="13"/>
      <c r="E492" s="1"/>
      <c r="F492" s="1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3"/>
      <c r="D493" s="13"/>
      <c r="E493" s="1"/>
      <c r="F493" s="1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3"/>
      <c r="D494" s="13"/>
      <c r="E494" s="1"/>
      <c r="F494" s="1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3"/>
      <c r="D495" s="13"/>
      <c r="E495" s="1"/>
      <c r="F495" s="1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3"/>
      <c r="D496" s="13"/>
      <c r="E496" s="1"/>
      <c r="F496" s="1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3"/>
      <c r="D497" s="13"/>
      <c r="E497" s="1"/>
      <c r="F497" s="1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3"/>
      <c r="D498" s="13"/>
      <c r="E498" s="1"/>
      <c r="F498" s="1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3"/>
      <c r="D499" s="13"/>
      <c r="E499" s="1"/>
      <c r="F499" s="1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3"/>
      <c r="D500" s="13"/>
      <c r="E500" s="1"/>
      <c r="F500" s="1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3"/>
      <c r="D501" s="13"/>
      <c r="E501" s="1"/>
      <c r="F501" s="1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3"/>
      <c r="D502" s="13"/>
      <c r="E502" s="1"/>
      <c r="F502" s="1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3"/>
      <c r="D503" s="13"/>
      <c r="E503" s="1"/>
      <c r="F503" s="1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3"/>
      <c r="D504" s="13"/>
      <c r="E504" s="1"/>
      <c r="F504" s="1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3"/>
      <c r="D505" s="13"/>
      <c r="E505" s="1"/>
      <c r="F505" s="1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3"/>
      <c r="D506" s="13"/>
      <c r="E506" s="1"/>
      <c r="F506" s="1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3"/>
      <c r="D507" s="13"/>
      <c r="E507" s="1"/>
      <c r="F507" s="1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3"/>
      <c r="D508" s="13"/>
      <c r="E508" s="1"/>
      <c r="F508" s="1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3"/>
      <c r="D509" s="13"/>
      <c r="E509" s="1"/>
      <c r="F509" s="1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3"/>
      <c r="D510" s="13"/>
      <c r="E510" s="1"/>
      <c r="F510" s="1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3"/>
      <c r="D511" s="13"/>
      <c r="E511" s="1"/>
      <c r="F511" s="1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3"/>
      <c r="D512" s="13"/>
      <c r="E512" s="1"/>
      <c r="F512" s="1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3"/>
      <c r="D513" s="13"/>
      <c r="E513" s="1"/>
      <c r="F513" s="1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3"/>
      <c r="D514" s="13"/>
      <c r="E514" s="1"/>
      <c r="F514" s="1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3"/>
      <c r="D515" s="13"/>
      <c r="E515" s="1"/>
      <c r="F515" s="1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3"/>
      <c r="D516" s="13"/>
      <c r="E516" s="1"/>
      <c r="F516" s="1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3"/>
      <c r="D517" s="13"/>
      <c r="E517" s="1"/>
      <c r="F517" s="1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3"/>
      <c r="D518" s="13"/>
      <c r="E518" s="1"/>
      <c r="F518" s="1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3"/>
      <c r="D519" s="13"/>
      <c r="E519" s="1"/>
      <c r="F519" s="1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3"/>
      <c r="D520" s="13"/>
      <c r="E520" s="1"/>
      <c r="F520" s="1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3"/>
      <c r="D521" s="13"/>
      <c r="E521" s="1"/>
      <c r="F521" s="1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3"/>
      <c r="D522" s="13"/>
      <c r="E522" s="1"/>
      <c r="F522" s="1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3"/>
      <c r="D523" s="13"/>
      <c r="E523" s="1"/>
      <c r="F523" s="1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3"/>
      <c r="D524" s="13"/>
      <c r="E524" s="1"/>
      <c r="F524" s="1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3"/>
      <c r="D525" s="13"/>
      <c r="E525" s="1"/>
      <c r="F525" s="1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3"/>
      <c r="D526" s="13"/>
      <c r="E526" s="1"/>
      <c r="F526" s="1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3"/>
      <c r="D527" s="13"/>
      <c r="E527" s="1"/>
      <c r="F527" s="1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3"/>
      <c r="D528" s="13"/>
      <c r="E528" s="1"/>
      <c r="F528" s="1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3"/>
      <c r="D529" s="13"/>
      <c r="E529" s="1"/>
      <c r="F529" s="1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3"/>
      <c r="D530" s="13"/>
      <c r="E530" s="1"/>
      <c r="F530" s="1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3"/>
      <c r="D531" s="13"/>
      <c r="E531" s="1"/>
      <c r="F531" s="1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3"/>
      <c r="D532" s="13"/>
      <c r="E532" s="1"/>
      <c r="F532" s="1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3"/>
      <c r="D533" s="13"/>
      <c r="E533" s="1"/>
      <c r="F533" s="1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3"/>
      <c r="D534" s="13"/>
      <c r="E534" s="1"/>
      <c r="F534" s="1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3"/>
      <c r="D535" s="13"/>
      <c r="E535" s="1"/>
      <c r="F535" s="1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3"/>
      <c r="D536" s="13"/>
      <c r="E536" s="1"/>
      <c r="F536" s="1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3"/>
      <c r="D537" s="13"/>
      <c r="E537" s="1"/>
      <c r="F537" s="1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3"/>
      <c r="D538" s="13"/>
      <c r="E538" s="1"/>
      <c r="F538" s="1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3"/>
      <c r="D539" s="13"/>
      <c r="E539" s="1"/>
      <c r="F539" s="1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3"/>
      <c r="D540" s="13"/>
      <c r="E540" s="1"/>
      <c r="F540" s="1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3"/>
      <c r="D541" s="13"/>
      <c r="E541" s="1"/>
      <c r="F541" s="1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3"/>
      <c r="D542" s="13"/>
      <c r="E542" s="1"/>
      <c r="F542" s="1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3"/>
      <c r="D543" s="13"/>
      <c r="E543" s="1"/>
      <c r="F543" s="1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3"/>
      <c r="D544" s="13"/>
      <c r="E544" s="1"/>
      <c r="F544" s="1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3"/>
      <c r="D545" s="13"/>
      <c r="E545" s="1"/>
      <c r="F545" s="1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3"/>
      <c r="D546" s="13"/>
      <c r="E546" s="1"/>
      <c r="F546" s="1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3"/>
      <c r="D547" s="13"/>
      <c r="E547" s="1"/>
      <c r="F547" s="1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3"/>
      <c r="D548" s="13"/>
      <c r="E548" s="1"/>
      <c r="F548" s="1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3"/>
      <c r="D549" s="13"/>
      <c r="E549" s="1"/>
      <c r="F549" s="1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3"/>
      <c r="D550" s="13"/>
      <c r="E550" s="1"/>
      <c r="F550" s="1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3"/>
      <c r="D551" s="13"/>
      <c r="E551" s="1"/>
      <c r="F551" s="1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3"/>
      <c r="D552" s="13"/>
      <c r="E552" s="1"/>
      <c r="F552" s="1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3"/>
      <c r="D553" s="13"/>
      <c r="E553" s="1"/>
      <c r="F553" s="1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3"/>
      <c r="D554" s="13"/>
      <c r="E554" s="1"/>
      <c r="F554" s="1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3"/>
      <c r="D555" s="13"/>
      <c r="E555" s="1"/>
      <c r="F555" s="1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3"/>
      <c r="D556" s="13"/>
      <c r="E556" s="1"/>
      <c r="F556" s="1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3"/>
      <c r="D557" s="13"/>
      <c r="E557" s="1"/>
      <c r="F557" s="1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3"/>
      <c r="D558" s="13"/>
      <c r="E558" s="1"/>
      <c r="F558" s="1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3"/>
      <c r="D559" s="13"/>
      <c r="E559" s="1"/>
      <c r="F559" s="1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3"/>
      <c r="D560" s="13"/>
      <c r="E560" s="1"/>
      <c r="F560" s="1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3"/>
      <c r="D561" s="13"/>
      <c r="E561" s="1"/>
      <c r="F561" s="1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3"/>
      <c r="D562" s="13"/>
      <c r="E562" s="1"/>
      <c r="F562" s="1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3"/>
      <c r="D563" s="13"/>
      <c r="E563" s="1"/>
      <c r="F563" s="1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3"/>
      <c r="D564" s="13"/>
      <c r="E564" s="1"/>
      <c r="F564" s="1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3"/>
      <c r="D565" s="13"/>
      <c r="E565" s="1"/>
      <c r="F565" s="1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3"/>
      <c r="D566" s="13"/>
      <c r="E566" s="1"/>
      <c r="F566" s="1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3"/>
      <c r="D567" s="13"/>
      <c r="E567" s="1"/>
      <c r="F567" s="1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3"/>
      <c r="D568" s="13"/>
      <c r="E568" s="1"/>
      <c r="F568" s="1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3"/>
      <c r="D569" s="13"/>
      <c r="E569" s="1"/>
      <c r="F569" s="1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3"/>
      <c r="D570" s="13"/>
      <c r="E570" s="1"/>
      <c r="F570" s="1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3"/>
      <c r="D571" s="13"/>
      <c r="E571" s="1"/>
      <c r="F571" s="1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3"/>
      <c r="D572" s="13"/>
      <c r="E572" s="1"/>
      <c r="F572" s="1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3"/>
      <c r="D573" s="13"/>
      <c r="E573" s="1"/>
      <c r="F573" s="1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3"/>
      <c r="D574" s="13"/>
      <c r="E574" s="1"/>
      <c r="F574" s="1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3"/>
      <c r="D575" s="13"/>
      <c r="E575" s="1"/>
      <c r="F575" s="1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3"/>
      <c r="D576" s="13"/>
      <c r="E576" s="1"/>
      <c r="F576" s="1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3"/>
      <c r="D577" s="13"/>
      <c r="E577" s="1"/>
      <c r="F577" s="1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3"/>
      <c r="D578" s="13"/>
      <c r="E578" s="1"/>
      <c r="F578" s="1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3"/>
      <c r="D579" s="13"/>
      <c r="E579" s="1"/>
      <c r="F579" s="1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3"/>
      <c r="D580" s="13"/>
      <c r="E580" s="1"/>
      <c r="F580" s="1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3"/>
      <c r="D581" s="13"/>
      <c r="E581" s="1"/>
      <c r="F581" s="1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3"/>
      <c r="D582" s="13"/>
      <c r="E582" s="1"/>
      <c r="F582" s="1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3"/>
      <c r="D583" s="13"/>
      <c r="E583" s="1"/>
      <c r="F583" s="1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3"/>
      <c r="D584" s="13"/>
      <c r="E584" s="1"/>
      <c r="F584" s="1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3"/>
      <c r="D585" s="13"/>
      <c r="E585" s="1"/>
      <c r="F585" s="1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3"/>
      <c r="D586" s="13"/>
      <c r="E586" s="1"/>
      <c r="F586" s="1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3"/>
      <c r="D587" s="13"/>
      <c r="E587" s="1"/>
      <c r="F587" s="1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3"/>
      <c r="D588" s="13"/>
      <c r="E588" s="1"/>
      <c r="F588" s="1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3"/>
      <c r="D589" s="13"/>
      <c r="E589" s="1"/>
      <c r="F589" s="1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3"/>
      <c r="D590" s="13"/>
      <c r="E590" s="1"/>
      <c r="F590" s="1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3"/>
      <c r="D591" s="13"/>
      <c r="E591" s="1"/>
      <c r="F591" s="1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3"/>
      <c r="D592" s="13"/>
      <c r="E592" s="1"/>
      <c r="F592" s="1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3"/>
      <c r="D593" s="13"/>
      <c r="E593" s="1"/>
      <c r="F593" s="1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3"/>
      <c r="D594" s="13"/>
      <c r="E594" s="1"/>
      <c r="F594" s="1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3"/>
      <c r="D595" s="13"/>
      <c r="E595" s="1"/>
      <c r="F595" s="1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3"/>
      <c r="D596" s="13"/>
      <c r="E596" s="1"/>
      <c r="F596" s="1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3"/>
      <c r="D597" s="13"/>
      <c r="E597" s="1"/>
      <c r="F597" s="1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3"/>
      <c r="D598" s="13"/>
      <c r="E598" s="1"/>
      <c r="F598" s="1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3"/>
      <c r="D599" s="13"/>
      <c r="E599" s="1"/>
      <c r="F599" s="1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3"/>
      <c r="D600" s="13"/>
      <c r="E600" s="1"/>
      <c r="F600" s="1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3"/>
      <c r="D601" s="13"/>
      <c r="E601" s="1"/>
      <c r="F601" s="1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3"/>
      <c r="D602" s="13"/>
      <c r="E602" s="1"/>
      <c r="F602" s="1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3"/>
      <c r="D603" s="13"/>
      <c r="E603" s="1"/>
      <c r="F603" s="1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3"/>
      <c r="D604" s="13"/>
      <c r="E604" s="1"/>
      <c r="F604" s="1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3"/>
      <c r="D605" s="13"/>
      <c r="E605" s="1"/>
      <c r="F605" s="1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3"/>
      <c r="D606" s="13"/>
      <c r="E606" s="1"/>
      <c r="F606" s="1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3"/>
      <c r="D607" s="13"/>
      <c r="E607" s="1"/>
      <c r="F607" s="1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3"/>
      <c r="D608" s="13"/>
      <c r="E608" s="1"/>
      <c r="F608" s="1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3"/>
      <c r="D609" s="13"/>
      <c r="E609" s="1"/>
      <c r="F609" s="1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3"/>
      <c r="D610" s="13"/>
      <c r="E610" s="1"/>
      <c r="F610" s="1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3"/>
      <c r="D611" s="13"/>
      <c r="E611" s="1"/>
      <c r="F611" s="1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3"/>
      <c r="D612" s="13"/>
      <c r="E612" s="1"/>
      <c r="F612" s="1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3"/>
      <c r="D613" s="13"/>
      <c r="E613" s="1"/>
      <c r="F613" s="1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3"/>
      <c r="D614" s="13"/>
      <c r="E614" s="1"/>
      <c r="F614" s="1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3"/>
      <c r="D615" s="13"/>
      <c r="E615" s="1"/>
      <c r="F615" s="1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3"/>
      <c r="D616" s="13"/>
      <c r="E616" s="1"/>
      <c r="F616" s="1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3"/>
      <c r="D617" s="13"/>
      <c r="E617" s="1"/>
      <c r="F617" s="1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3"/>
      <c r="D618" s="13"/>
      <c r="E618" s="1"/>
      <c r="F618" s="1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3"/>
      <c r="D619" s="13"/>
      <c r="E619" s="1"/>
      <c r="F619" s="1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3"/>
      <c r="D620" s="13"/>
      <c r="E620" s="1"/>
      <c r="F620" s="1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3"/>
      <c r="D621" s="13"/>
      <c r="E621" s="1"/>
      <c r="F621" s="1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3"/>
      <c r="D622" s="13"/>
      <c r="E622" s="1"/>
      <c r="F622" s="1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3"/>
      <c r="D623" s="13"/>
      <c r="E623" s="1"/>
      <c r="F623" s="1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3"/>
      <c r="D624" s="13"/>
      <c r="E624" s="1"/>
      <c r="F624" s="1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3"/>
      <c r="D625" s="13"/>
      <c r="E625" s="1"/>
      <c r="F625" s="1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3"/>
      <c r="D626" s="13"/>
      <c r="E626" s="1"/>
      <c r="F626" s="1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3"/>
      <c r="D627" s="13"/>
      <c r="E627" s="1"/>
      <c r="F627" s="1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3"/>
      <c r="D628" s="13"/>
      <c r="E628" s="1"/>
      <c r="F628" s="1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3"/>
      <c r="D629" s="13"/>
      <c r="E629" s="1"/>
      <c r="F629" s="1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3"/>
      <c r="D630" s="13"/>
      <c r="E630" s="1"/>
      <c r="F630" s="1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3"/>
      <c r="D631" s="13"/>
      <c r="E631" s="1"/>
      <c r="F631" s="1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3"/>
      <c r="D632" s="13"/>
      <c r="E632" s="1"/>
      <c r="F632" s="1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3"/>
      <c r="D633" s="13"/>
      <c r="E633" s="1"/>
      <c r="F633" s="1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3"/>
      <c r="D634" s="13"/>
      <c r="E634" s="1"/>
      <c r="F634" s="1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3"/>
      <c r="D635" s="13"/>
      <c r="E635" s="1"/>
      <c r="F635" s="1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3"/>
      <c r="D636" s="13"/>
      <c r="E636" s="1"/>
      <c r="F636" s="1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3"/>
      <c r="D637" s="13"/>
      <c r="E637" s="1"/>
      <c r="F637" s="1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3"/>
      <c r="D638" s="13"/>
      <c r="E638" s="1"/>
      <c r="F638" s="1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3"/>
      <c r="D639" s="13"/>
      <c r="E639" s="1"/>
      <c r="F639" s="1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3"/>
      <c r="D640" s="13"/>
      <c r="E640" s="1"/>
      <c r="F640" s="1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3"/>
      <c r="D641" s="13"/>
      <c r="E641" s="1"/>
      <c r="F641" s="1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3"/>
      <c r="D642" s="13"/>
      <c r="E642" s="1"/>
      <c r="F642" s="1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3"/>
      <c r="D643" s="13"/>
      <c r="E643" s="1"/>
      <c r="F643" s="1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3"/>
      <c r="D644" s="13"/>
      <c r="E644" s="1"/>
      <c r="F644" s="1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3"/>
      <c r="D645" s="13"/>
      <c r="E645" s="1"/>
      <c r="F645" s="1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3"/>
      <c r="D646" s="13"/>
      <c r="E646" s="1"/>
      <c r="F646" s="1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3"/>
      <c r="D647" s="13"/>
      <c r="E647" s="1"/>
      <c r="F647" s="1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3"/>
      <c r="D648" s="13"/>
      <c r="E648" s="1"/>
      <c r="F648" s="1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3"/>
      <c r="D649" s="13"/>
      <c r="E649" s="1"/>
      <c r="F649" s="1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3"/>
      <c r="D650" s="13"/>
      <c r="E650" s="1"/>
      <c r="F650" s="1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3"/>
      <c r="D651" s="13"/>
      <c r="E651" s="1"/>
      <c r="F651" s="1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3"/>
      <c r="D652" s="13"/>
      <c r="E652" s="1"/>
      <c r="F652" s="1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3"/>
      <c r="D653" s="13"/>
      <c r="E653" s="1"/>
      <c r="F653" s="1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3"/>
      <c r="D654" s="13"/>
      <c r="E654" s="1"/>
      <c r="F654" s="1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3"/>
      <c r="D655" s="13"/>
      <c r="E655" s="1"/>
      <c r="F655" s="1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3"/>
      <c r="D656" s="13"/>
      <c r="E656" s="1"/>
      <c r="F656" s="1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3"/>
      <c r="D657" s="13"/>
      <c r="E657" s="1"/>
      <c r="F657" s="1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3"/>
      <c r="D658" s="13"/>
      <c r="E658" s="1"/>
      <c r="F658" s="1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3"/>
      <c r="D659" s="13"/>
      <c r="E659" s="1"/>
      <c r="F659" s="1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3"/>
      <c r="D660" s="13"/>
      <c r="E660" s="1"/>
      <c r="F660" s="1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3"/>
      <c r="D661" s="13"/>
      <c r="E661" s="1"/>
      <c r="F661" s="1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3"/>
      <c r="D662" s="13"/>
      <c r="E662" s="1"/>
      <c r="F662" s="1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3"/>
      <c r="D663" s="13"/>
      <c r="E663" s="1"/>
      <c r="F663" s="1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3"/>
      <c r="D664" s="13"/>
      <c r="E664" s="1"/>
      <c r="F664" s="1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3"/>
      <c r="D665" s="13"/>
      <c r="E665" s="1"/>
      <c r="F665" s="1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3"/>
      <c r="D666" s="13"/>
      <c r="E666" s="1"/>
      <c r="F666" s="1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3"/>
      <c r="D667" s="13"/>
      <c r="E667" s="1"/>
      <c r="F667" s="1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3"/>
      <c r="D668" s="13"/>
      <c r="E668" s="1"/>
      <c r="F668" s="1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3"/>
      <c r="D669" s="13"/>
      <c r="E669" s="1"/>
      <c r="F669" s="1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3"/>
      <c r="D670" s="13"/>
      <c r="E670" s="1"/>
      <c r="F670" s="1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3"/>
      <c r="D671" s="13"/>
      <c r="E671" s="1"/>
      <c r="F671" s="1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3"/>
      <c r="D672" s="13"/>
      <c r="E672" s="1"/>
      <c r="F672" s="1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3"/>
      <c r="D673" s="13"/>
      <c r="E673" s="1"/>
      <c r="F673" s="1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3"/>
      <c r="D674" s="13"/>
      <c r="E674" s="1"/>
      <c r="F674" s="1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3"/>
      <c r="D675" s="13"/>
      <c r="E675" s="1"/>
      <c r="F675" s="1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3"/>
      <c r="D676" s="13"/>
      <c r="E676" s="1"/>
      <c r="F676" s="1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3"/>
      <c r="D677" s="13"/>
      <c r="E677" s="1"/>
      <c r="F677" s="1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3"/>
      <c r="D678" s="13"/>
      <c r="E678" s="1"/>
      <c r="F678" s="1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3"/>
      <c r="D679" s="13"/>
      <c r="E679" s="1"/>
      <c r="F679" s="1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3"/>
      <c r="D680" s="13"/>
      <c r="E680" s="1"/>
      <c r="F680" s="1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3"/>
      <c r="D681" s="13"/>
      <c r="E681" s="1"/>
      <c r="F681" s="1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3"/>
      <c r="D682" s="13"/>
      <c r="E682" s="1"/>
      <c r="F682" s="1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3"/>
      <c r="D683" s="13"/>
      <c r="E683" s="1"/>
      <c r="F683" s="1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3"/>
      <c r="D684" s="13"/>
      <c r="E684" s="1"/>
      <c r="F684" s="1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3"/>
      <c r="D685" s="13"/>
      <c r="E685" s="1"/>
      <c r="F685" s="1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3"/>
      <c r="D686" s="13"/>
      <c r="E686" s="1"/>
      <c r="F686" s="1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3"/>
      <c r="D687" s="13"/>
      <c r="E687" s="1"/>
      <c r="F687" s="1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3"/>
      <c r="D688" s="13"/>
      <c r="E688" s="1"/>
      <c r="F688" s="1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3"/>
      <c r="D689" s="13"/>
      <c r="E689" s="1"/>
      <c r="F689" s="1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3"/>
      <c r="D690" s="13"/>
      <c r="E690" s="1"/>
      <c r="F690" s="1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3"/>
      <c r="D691" s="13"/>
      <c r="E691" s="1"/>
      <c r="F691" s="1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3"/>
      <c r="D692" s="13"/>
      <c r="E692" s="1"/>
      <c r="F692" s="1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3"/>
      <c r="D693" s="13"/>
      <c r="E693" s="1"/>
      <c r="F693" s="1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3"/>
      <c r="D694" s="13"/>
      <c r="E694" s="1"/>
      <c r="F694" s="1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3"/>
      <c r="D695" s="13"/>
      <c r="E695" s="1"/>
      <c r="F695" s="1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3"/>
      <c r="D696" s="13"/>
      <c r="E696" s="1"/>
      <c r="F696" s="1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3"/>
      <c r="D697" s="13"/>
      <c r="E697" s="1"/>
      <c r="F697" s="1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3"/>
      <c r="D698" s="13"/>
      <c r="E698" s="1"/>
      <c r="F698" s="1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3"/>
      <c r="D699" s="13"/>
      <c r="E699" s="1"/>
      <c r="F699" s="1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3"/>
      <c r="D700" s="13"/>
      <c r="E700" s="1"/>
      <c r="F700" s="1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3"/>
      <c r="D701" s="13"/>
      <c r="E701" s="1"/>
      <c r="F701" s="1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3"/>
      <c r="D702" s="13"/>
      <c r="E702" s="1"/>
      <c r="F702" s="1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3"/>
      <c r="D703" s="13"/>
      <c r="E703" s="1"/>
      <c r="F703" s="1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3"/>
      <c r="D704" s="13"/>
      <c r="E704" s="1"/>
      <c r="F704" s="1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3"/>
      <c r="D705" s="13"/>
      <c r="E705" s="1"/>
      <c r="F705" s="1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3"/>
      <c r="D706" s="13"/>
      <c r="E706" s="1"/>
      <c r="F706" s="1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3"/>
      <c r="D707" s="13"/>
      <c r="E707" s="1"/>
      <c r="F707" s="1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3"/>
      <c r="D708" s="13"/>
      <c r="E708" s="1"/>
      <c r="F708" s="1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3"/>
      <c r="D709" s="13"/>
      <c r="E709" s="1"/>
      <c r="F709" s="1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3"/>
      <c r="D710" s="13"/>
      <c r="E710" s="1"/>
      <c r="F710" s="1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3"/>
      <c r="D711" s="13"/>
      <c r="E711" s="1"/>
      <c r="F711" s="1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3"/>
      <c r="D712" s="13"/>
      <c r="E712" s="1"/>
      <c r="F712" s="1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3"/>
      <c r="D713" s="13"/>
      <c r="E713" s="1"/>
      <c r="F713" s="1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3"/>
      <c r="D714" s="13"/>
      <c r="E714" s="1"/>
      <c r="F714" s="1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3"/>
      <c r="D715" s="13"/>
      <c r="E715" s="1"/>
      <c r="F715" s="1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3"/>
      <c r="D716" s="13"/>
      <c r="E716" s="1"/>
      <c r="F716" s="1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3"/>
      <c r="D717" s="13"/>
      <c r="E717" s="1"/>
      <c r="F717" s="1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3"/>
      <c r="D718" s="13"/>
      <c r="E718" s="1"/>
      <c r="F718" s="1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3"/>
      <c r="D719" s="13"/>
      <c r="E719" s="1"/>
      <c r="F719" s="1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3"/>
      <c r="D720" s="13"/>
      <c r="E720" s="1"/>
      <c r="F720" s="1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3"/>
      <c r="D721" s="13"/>
      <c r="E721" s="1"/>
      <c r="F721" s="1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3"/>
      <c r="D722" s="13"/>
      <c r="E722" s="1"/>
      <c r="F722" s="1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3"/>
      <c r="D723" s="13"/>
      <c r="E723" s="1"/>
      <c r="F723" s="1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3"/>
      <c r="D724" s="13"/>
      <c r="E724" s="1"/>
      <c r="F724" s="1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3"/>
      <c r="D725" s="13"/>
      <c r="E725" s="1"/>
      <c r="F725" s="1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3"/>
      <c r="D726" s="13"/>
      <c r="E726" s="1"/>
      <c r="F726" s="1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3"/>
      <c r="D727" s="13"/>
      <c r="E727" s="1"/>
      <c r="F727" s="1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3"/>
      <c r="D728" s="13"/>
      <c r="E728" s="1"/>
      <c r="F728" s="1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3"/>
      <c r="D729" s="13"/>
      <c r="E729" s="1"/>
      <c r="F729" s="1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3"/>
      <c r="D730" s="13"/>
      <c r="E730" s="1"/>
      <c r="F730" s="1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3"/>
      <c r="D731" s="13"/>
      <c r="E731" s="1"/>
      <c r="F731" s="1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3"/>
      <c r="D732" s="13"/>
      <c r="E732" s="1"/>
      <c r="F732" s="1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3"/>
      <c r="D733" s="13"/>
      <c r="E733" s="1"/>
      <c r="F733" s="1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3"/>
      <c r="D734" s="13"/>
      <c r="E734" s="1"/>
      <c r="F734" s="1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3"/>
      <c r="D735" s="13"/>
      <c r="E735" s="1"/>
      <c r="F735" s="1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3"/>
      <c r="D736" s="13"/>
      <c r="E736" s="1"/>
      <c r="F736" s="1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3"/>
      <c r="D737" s="13"/>
      <c r="E737" s="1"/>
      <c r="F737" s="1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3"/>
      <c r="D738" s="13"/>
      <c r="E738" s="1"/>
      <c r="F738" s="1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3"/>
      <c r="D739" s="13"/>
      <c r="E739" s="1"/>
      <c r="F739" s="1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3"/>
      <c r="D740" s="13"/>
      <c r="E740" s="1"/>
      <c r="F740" s="1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3"/>
      <c r="D741" s="13"/>
      <c r="E741" s="1"/>
      <c r="F741" s="1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3"/>
      <c r="D742" s="13"/>
      <c r="E742" s="1"/>
      <c r="F742" s="1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3"/>
      <c r="D743" s="13"/>
      <c r="E743" s="1"/>
      <c r="F743" s="1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3"/>
      <c r="D744" s="13"/>
      <c r="E744" s="1"/>
      <c r="F744" s="1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3"/>
      <c r="D745" s="13"/>
      <c r="E745" s="1"/>
      <c r="F745" s="1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3"/>
      <c r="D746" s="13"/>
      <c r="E746" s="1"/>
      <c r="F746" s="1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3"/>
      <c r="D747" s="13"/>
      <c r="E747" s="1"/>
      <c r="F747" s="1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3"/>
      <c r="D748" s="13"/>
      <c r="E748" s="1"/>
      <c r="F748" s="1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3"/>
      <c r="D749" s="13"/>
      <c r="E749" s="1"/>
      <c r="F749" s="1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3"/>
      <c r="D750" s="13"/>
      <c r="E750" s="1"/>
      <c r="F750" s="1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3"/>
      <c r="D751" s="13"/>
      <c r="E751" s="1"/>
      <c r="F751" s="1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3"/>
      <c r="D752" s="13"/>
      <c r="E752" s="1"/>
      <c r="F752" s="1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3"/>
      <c r="D753" s="13"/>
      <c r="E753" s="1"/>
      <c r="F753" s="1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3"/>
      <c r="D754" s="13"/>
      <c r="E754" s="1"/>
      <c r="F754" s="1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3"/>
      <c r="D755" s="13"/>
      <c r="E755" s="1"/>
      <c r="F755" s="1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3"/>
      <c r="D756" s="13"/>
      <c r="E756" s="1"/>
      <c r="F756" s="1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3"/>
      <c r="D757" s="13"/>
      <c r="E757" s="1"/>
      <c r="F757" s="1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3"/>
      <c r="D758" s="13"/>
      <c r="E758" s="1"/>
      <c r="F758" s="1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3"/>
      <c r="D759" s="13"/>
      <c r="E759" s="1"/>
      <c r="F759" s="1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3"/>
      <c r="D760" s="13"/>
      <c r="E760" s="1"/>
      <c r="F760" s="1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3"/>
      <c r="D761" s="13"/>
      <c r="E761" s="1"/>
      <c r="F761" s="1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3"/>
      <c r="D762" s="13"/>
      <c r="E762" s="1"/>
      <c r="F762" s="1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3"/>
      <c r="D763" s="13"/>
      <c r="E763" s="1"/>
      <c r="F763" s="1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3"/>
      <c r="D764" s="13"/>
      <c r="E764" s="1"/>
      <c r="F764" s="1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3"/>
      <c r="D765" s="13"/>
      <c r="E765" s="1"/>
      <c r="F765" s="1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3"/>
      <c r="D766" s="13"/>
      <c r="E766" s="1"/>
      <c r="F766" s="1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3"/>
      <c r="D767" s="13"/>
      <c r="E767" s="1"/>
      <c r="F767" s="1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3"/>
      <c r="D768" s="13"/>
      <c r="E768" s="1"/>
      <c r="F768" s="1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3"/>
      <c r="D769" s="13"/>
      <c r="E769" s="1"/>
      <c r="F769" s="1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3"/>
      <c r="D770" s="13"/>
      <c r="E770" s="1"/>
      <c r="F770" s="1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3"/>
      <c r="D771" s="13"/>
      <c r="E771" s="1"/>
      <c r="F771" s="1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3"/>
      <c r="D772" s="13"/>
      <c r="E772" s="1"/>
      <c r="F772" s="1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3"/>
      <c r="D773" s="13"/>
      <c r="E773" s="1"/>
      <c r="F773" s="1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3"/>
      <c r="D774" s="13"/>
      <c r="E774" s="1"/>
      <c r="F774" s="1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3"/>
      <c r="D775" s="13"/>
      <c r="E775" s="1"/>
      <c r="F775" s="1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3"/>
      <c r="D776" s="13"/>
      <c r="E776" s="1"/>
      <c r="F776" s="1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3"/>
      <c r="D777" s="13"/>
      <c r="E777" s="1"/>
      <c r="F777" s="1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3"/>
      <c r="D778" s="13"/>
      <c r="E778" s="1"/>
      <c r="F778" s="1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3"/>
      <c r="D779" s="13"/>
      <c r="E779" s="1"/>
      <c r="F779" s="1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3"/>
      <c r="D780" s="13"/>
      <c r="E780" s="1"/>
      <c r="F780" s="1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3"/>
      <c r="D781" s="13"/>
      <c r="E781" s="1"/>
      <c r="F781" s="1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3"/>
      <c r="D782" s="13"/>
      <c r="E782" s="1"/>
      <c r="F782" s="1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3"/>
      <c r="D783" s="13"/>
      <c r="E783" s="1"/>
      <c r="F783" s="1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3"/>
      <c r="D784" s="13"/>
      <c r="E784" s="1"/>
      <c r="F784" s="1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3"/>
      <c r="D785" s="13"/>
      <c r="E785" s="1"/>
      <c r="F785" s="1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3"/>
      <c r="D786" s="13"/>
      <c r="E786" s="1"/>
      <c r="F786" s="1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3"/>
      <c r="D787" s="13"/>
      <c r="E787" s="1"/>
      <c r="F787" s="1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3"/>
      <c r="D788" s="13"/>
      <c r="E788" s="1"/>
      <c r="F788" s="1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3"/>
      <c r="D789" s="13"/>
      <c r="E789" s="1"/>
      <c r="F789" s="1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3"/>
      <c r="D790" s="13"/>
      <c r="E790" s="1"/>
      <c r="F790" s="1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3"/>
      <c r="D791" s="13"/>
      <c r="E791" s="1"/>
      <c r="F791" s="1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3"/>
      <c r="D792" s="13"/>
      <c r="E792" s="1"/>
      <c r="F792" s="1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3"/>
      <c r="D793" s="13"/>
      <c r="E793" s="1"/>
      <c r="F793" s="1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3"/>
      <c r="D794" s="13"/>
      <c r="E794" s="1"/>
      <c r="F794" s="1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3"/>
      <c r="D795" s="13"/>
      <c r="E795" s="1"/>
      <c r="F795" s="1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3"/>
      <c r="D796" s="13"/>
      <c r="E796" s="1"/>
      <c r="F796" s="1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3"/>
      <c r="D797" s="13"/>
      <c r="E797" s="1"/>
      <c r="F797" s="1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3"/>
      <c r="D798" s="13"/>
      <c r="E798" s="1"/>
      <c r="F798" s="1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3"/>
      <c r="D799" s="13"/>
      <c r="E799" s="1"/>
      <c r="F799" s="1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3"/>
      <c r="D800" s="13"/>
      <c r="E800" s="1"/>
      <c r="F800" s="1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3"/>
      <c r="D801" s="13"/>
      <c r="E801" s="1"/>
      <c r="F801" s="1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3"/>
      <c r="D802" s="13"/>
      <c r="E802" s="1"/>
      <c r="F802" s="1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3"/>
      <c r="D803" s="13"/>
      <c r="E803" s="1"/>
      <c r="F803" s="1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3"/>
      <c r="D804" s="13"/>
      <c r="E804" s="1"/>
      <c r="F804" s="1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3"/>
      <c r="D805" s="13"/>
      <c r="E805" s="1"/>
      <c r="F805" s="1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3"/>
      <c r="D806" s="13"/>
      <c r="E806" s="1"/>
      <c r="F806" s="1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3"/>
      <c r="D807" s="13"/>
      <c r="E807" s="1"/>
      <c r="F807" s="1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3"/>
      <c r="D808" s="13"/>
      <c r="E808" s="1"/>
      <c r="F808" s="1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3"/>
      <c r="D809" s="13"/>
      <c r="E809" s="1"/>
      <c r="F809" s="1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3"/>
      <c r="D810" s="13"/>
      <c r="E810" s="1"/>
      <c r="F810" s="1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3"/>
      <c r="D811" s="13"/>
      <c r="E811" s="1"/>
      <c r="F811" s="1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3"/>
      <c r="D812" s="13"/>
      <c r="E812" s="1"/>
      <c r="F812" s="1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3"/>
      <c r="D813" s="13"/>
      <c r="E813" s="1"/>
      <c r="F813" s="1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3"/>
      <c r="D814" s="13"/>
      <c r="E814" s="1"/>
      <c r="F814" s="1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3"/>
      <c r="D815" s="13"/>
      <c r="E815" s="1"/>
      <c r="F815" s="1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3"/>
      <c r="D816" s="13"/>
      <c r="E816" s="1"/>
      <c r="F816" s="1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3"/>
      <c r="D817" s="13"/>
      <c r="E817" s="1"/>
      <c r="F817" s="1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3"/>
      <c r="D818" s="13"/>
      <c r="E818" s="1"/>
      <c r="F818" s="1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3"/>
      <c r="D819" s="13"/>
      <c r="E819" s="1"/>
      <c r="F819" s="1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3"/>
      <c r="D820" s="13"/>
      <c r="E820" s="1"/>
      <c r="F820" s="1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3"/>
      <c r="D821" s="13"/>
      <c r="E821" s="1"/>
      <c r="F821" s="1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3"/>
      <c r="D822" s="13"/>
      <c r="E822" s="1"/>
      <c r="F822" s="1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3"/>
      <c r="D823" s="13"/>
      <c r="E823" s="1"/>
      <c r="F823" s="1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3"/>
      <c r="D824" s="13"/>
      <c r="E824" s="1"/>
      <c r="F824" s="1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3"/>
      <c r="D825" s="13"/>
      <c r="E825" s="1"/>
      <c r="F825" s="1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3"/>
      <c r="D826" s="13"/>
      <c r="E826" s="1"/>
      <c r="F826" s="1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3"/>
      <c r="D827" s="13"/>
      <c r="E827" s="1"/>
      <c r="F827" s="1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3"/>
      <c r="D828" s="13"/>
      <c r="E828" s="1"/>
      <c r="F828" s="1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3"/>
      <c r="D829" s="13"/>
      <c r="E829" s="1"/>
      <c r="F829" s="1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3"/>
      <c r="D830" s="13"/>
      <c r="E830" s="1"/>
      <c r="F830" s="1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3"/>
      <c r="D831" s="13"/>
      <c r="E831" s="1"/>
      <c r="F831" s="1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3"/>
      <c r="D832" s="13"/>
      <c r="E832" s="1"/>
      <c r="F832" s="1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3"/>
      <c r="D833" s="13"/>
      <c r="E833" s="1"/>
      <c r="F833" s="1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3"/>
      <c r="D834" s="13"/>
      <c r="E834" s="1"/>
      <c r="F834" s="1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3"/>
      <c r="D835" s="13"/>
      <c r="E835" s="1"/>
      <c r="F835" s="1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3"/>
      <c r="D836" s="13"/>
      <c r="E836" s="1"/>
      <c r="F836" s="1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3"/>
      <c r="D837" s="13"/>
      <c r="E837" s="1"/>
      <c r="F837" s="1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3"/>
      <c r="D838" s="13"/>
      <c r="E838" s="1"/>
      <c r="F838" s="1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3"/>
      <c r="D839" s="13"/>
      <c r="E839" s="1"/>
      <c r="F839" s="1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3"/>
      <c r="D840" s="13"/>
      <c r="E840" s="1"/>
      <c r="F840" s="1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3"/>
      <c r="D841" s="13"/>
      <c r="E841" s="1"/>
      <c r="F841" s="1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3"/>
      <c r="D842" s="13"/>
      <c r="E842" s="1"/>
      <c r="F842" s="1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3"/>
      <c r="D843" s="13"/>
      <c r="E843" s="1"/>
      <c r="F843" s="1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3"/>
      <c r="D844" s="13"/>
      <c r="E844" s="1"/>
      <c r="F844" s="1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3"/>
      <c r="D845" s="13"/>
      <c r="E845" s="1"/>
      <c r="F845" s="1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3"/>
      <c r="D846" s="13"/>
      <c r="E846" s="1"/>
      <c r="F846" s="1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3"/>
      <c r="D847" s="13"/>
      <c r="E847" s="1"/>
      <c r="F847" s="1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3"/>
      <c r="D848" s="13"/>
      <c r="E848" s="1"/>
      <c r="F848" s="1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3"/>
      <c r="D849" s="13"/>
      <c r="E849" s="1"/>
      <c r="F849" s="1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3"/>
      <c r="D850" s="13"/>
      <c r="E850" s="1"/>
      <c r="F850" s="1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3"/>
      <c r="D851" s="13"/>
      <c r="E851" s="1"/>
      <c r="F851" s="1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3"/>
      <c r="D852" s="13"/>
      <c r="E852" s="1"/>
      <c r="F852" s="1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3"/>
      <c r="D853" s="13"/>
      <c r="E853" s="1"/>
      <c r="F853" s="1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3"/>
      <c r="D854" s="13"/>
      <c r="E854" s="1"/>
      <c r="F854" s="1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3"/>
      <c r="D855" s="13"/>
      <c r="E855" s="1"/>
      <c r="F855" s="1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3"/>
      <c r="D856" s="13"/>
      <c r="E856" s="1"/>
      <c r="F856" s="1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3"/>
      <c r="D857" s="13"/>
      <c r="E857" s="1"/>
      <c r="F857" s="1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3"/>
      <c r="D858" s="13"/>
      <c r="E858" s="1"/>
      <c r="F858" s="1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3"/>
      <c r="D859" s="13"/>
      <c r="E859" s="1"/>
      <c r="F859" s="1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3"/>
      <c r="D860" s="13"/>
      <c r="E860" s="1"/>
      <c r="F860" s="1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3"/>
      <c r="D861" s="13"/>
      <c r="E861" s="1"/>
      <c r="F861" s="1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3"/>
      <c r="D862" s="13"/>
      <c r="E862" s="1"/>
      <c r="F862" s="1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3"/>
      <c r="D863" s="13"/>
      <c r="E863" s="1"/>
      <c r="F863" s="1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3"/>
      <c r="D864" s="13"/>
      <c r="E864" s="1"/>
      <c r="F864" s="1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3"/>
      <c r="D865" s="13"/>
      <c r="E865" s="1"/>
      <c r="F865" s="1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3"/>
      <c r="D866" s="13"/>
      <c r="E866" s="1"/>
      <c r="F866" s="1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3"/>
      <c r="D867" s="13"/>
      <c r="E867" s="1"/>
      <c r="F867" s="1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3"/>
      <c r="D868" s="13"/>
      <c r="E868" s="1"/>
      <c r="F868" s="1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3"/>
      <c r="D869" s="13"/>
      <c r="E869" s="1"/>
      <c r="F869" s="1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3"/>
      <c r="D870" s="13"/>
      <c r="E870" s="1"/>
      <c r="F870" s="1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3"/>
      <c r="D871" s="13"/>
      <c r="E871" s="1"/>
      <c r="F871" s="1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3"/>
      <c r="D872" s="13"/>
      <c r="E872" s="1"/>
      <c r="F872" s="1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3"/>
      <c r="D873" s="13"/>
      <c r="E873" s="1"/>
      <c r="F873" s="1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3"/>
      <c r="D874" s="13"/>
      <c r="E874" s="1"/>
      <c r="F874" s="1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3"/>
      <c r="D875" s="13"/>
      <c r="E875" s="1"/>
      <c r="F875" s="1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3"/>
      <c r="D876" s="13"/>
      <c r="E876" s="1"/>
      <c r="F876" s="1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3"/>
      <c r="D877" s="13"/>
      <c r="E877" s="1"/>
      <c r="F877" s="1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3"/>
      <c r="D878" s="13"/>
      <c r="E878" s="1"/>
      <c r="F878" s="1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3"/>
      <c r="D879" s="13"/>
      <c r="E879" s="1"/>
      <c r="F879" s="1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3"/>
      <c r="D880" s="13"/>
      <c r="E880" s="1"/>
      <c r="F880" s="1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3"/>
      <c r="D881" s="13"/>
      <c r="E881" s="1"/>
      <c r="F881" s="1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3"/>
      <c r="D882" s="13"/>
      <c r="E882" s="1"/>
      <c r="F882" s="1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3"/>
      <c r="D883" s="13"/>
      <c r="E883" s="1"/>
      <c r="F883" s="1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3"/>
      <c r="D884" s="13"/>
      <c r="E884" s="1"/>
      <c r="F884" s="1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3"/>
      <c r="D885" s="13"/>
      <c r="E885" s="1"/>
      <c r="F885" s="1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3"/>
      <c r="D886" s="13"/>
      <c r="E886" s="1"/>
      <c r="F886" s="1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3"/>
      <c r="D887" s="13"/>
      <c r="E887" s="1"/>
      <c r="F887" s="1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3"/>
      <c r="D888" s="13"/>
      <c r="E888" s="1"/>
      <c r="F888" s="1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3"/>
      <c r="D889" s="13"/>
      <c r="E889" s="1"/>
      <c r="F889" s="1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3"/>
      <c r="D890" s="13"/>
      <c r="E890" s="1"/>
      <c r="F890" s="1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3"/>
      <c r="D891" s="13"/>
      <c r="E891" s="1"/>
      <c r="F891" s="1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3"/>
      <c r="D892" s="13"/>
      <c r="E892" s="1"/>
      <c r="F892" s="1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3"/>
      <c r="D893" s="13"/>
      <c r="E893" s="1"/>
      <c r="F893" s="1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3"/>
      <c r="D894" s="13"/>
      <c r="E894" s="1"/>
      <c r="F894" s="1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3"/>
      <c r="D895" s="13"/>
      <c r="E895" s="1"/>
      <c r="F895" s="1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3"/>
      <c r="D896" s="13"/>
      <c r="E896" s="1"/>
      <c r="F896" s="1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3"/>
      <c r="D897" s="13"/>
      <c r="E897" s="1"/>
      <c r="F897" s="1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3"/>
      <c r="D898" s="13"/>
      <c r="E898" s="1"/>
      <c r="F898" s="1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3"/>
      <c r="D899" s="13"/>
      <c r="E899" s="1"/>
      <c r="F899" s="1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3"/>
      <c r="D900" s="13"/>
      <c r="E900" s="1"/>
      <c r="F900" s="1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3"/>
      <c r="D901" s="13"/>
      <c r="E901" s="1"/>
      <c r="F901" s="1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3"/>
      <c r="D902" s="13"/>
      <c r="E902" s="1"/>
      <c r="F902" s="1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3"/>
      <c r="D903" s="13"/>
      <c r="E903" s="1"/>
      <c r="F903" s="1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3"/>
      <c r="D904" s="13"/>
      <c r="E904" s="1"/>
      <c r="F904" s="1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3"/>
      <c r="D905" s="13"/>
      <c r="E905" s="1"/>
      <c r="F905" s="1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3"/>
      <c r="D906" s="13"/>
      <c r="E906" s="1"/>
      <c r="F906" s="1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3"/>
      <c r="D907" s="13"/>
      <c r="E907" s="1"/>
      <c r="F907" s="1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3"/>
      <c r="D908" s="13"/>
      <c r="E908" s="1"/>
      <c r="F908" s="1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3"/>
      <c r="D909" s="13"/>
      <c r="E909" s="1"/>
      <c r="F909" s="1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3"/>
      <c r="D910" s="13"/>
      <c r="E910" s="1"/>
      <c r="F910" s="1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3"/>
      <c r="D911" s="13"/>
      <c r="E911" s="1"/>
      <c r="F911" s="1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3"/>
      <c r="D912" s="13"/>
      <c r="E912" s="1"/>
      <c r="F912" s="1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3"/>
      <c r="D913" s="13"/>
      <c r="E913" s="1"/>
      <c r="F913" s="1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3"/>
      <c r="D914" s="13"/>
      <c r="E914" s="1"/>
      <c r="F914" s="1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3"/>
      <c r="D915" s="13"/>
      <c r="E915" s="1"/>
      <c r="F915" s="1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3"/>
      <c r="D916" s="13"/>
      <c r="E916" s="1"/>
      <c r="F916" s="1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3"/>
      <c r="D917" s="13"/>
      <c r="E917" s="1"/>
      <c r="F917" s="1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3"/>
      <c r="D918" s="13"/>
      <c r="E918" s="1"/>
      <c r="F918" s="1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3"/>
      <c r="D919" s="13"/>
      <c r="E919" s="1"/>
      <c r="F919" s="1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3"/>
      <c r="D920" s="13"/>
      <c r="E920" s="1"/>
      <c r="F920" s="1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3"/>
      <c r="D921" s="13"/>
      <c r="E921" s="1"/>
      <c r="F921" s="1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3"/>
      <c r="D922" s="13"/>
      <c r="E922" s="1"/>
      <c r="F922" s="1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3"/>
      <c r="D923" s="13"/>
      <c r="E923" s="1"/>
      <c r="F923" s="1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3"/>
      <c r="D924" s="13"/>
      <c r="E924" s="1"/>
      <c r="F924" s="1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3"/>
      <c r="D925" s="13"/>
      <c r="E925" s="1"/>
      <c r="F925" s="1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3"/>
      <c r="D926" s="13"/>
      <c r="E926" s="1"/>
      <c r="F926" s="1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3"/>
      <c r="D927" s="13"/>
      <c r="E927" s="1"/>
      <c r="F927" s="1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3"/>
      <c r="D928" s="13"/>
      <c r="E928" s="1"/>
      <c r="F928" s="1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3"/>
      <c r="D929" s="13"/>
      <c r="E929" s="1"/>
      <c r="F929" s="1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3"/>
      <c r="D930" s="13"/>
      <c r="E930" s="1"/>
      <c r="F930" s="1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3"/>
      <c r="D931" s="13"/>
      <c r="E931" s="1"/>
      <c r="F931" s="1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3"/>
      <c r="D932" s="13"/>
      <c r="E932" s="1"/>
      <c r="F932" s="1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3"/>
      <c r="D933" s="13"/>
      <c r="E933" s="1"/>
      <c r="F933" s="1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3"/>
      <c r="D934" s="13"/>
      <c r="E934" s="1"/>
      <c r="F934" s="1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3"/>
      <c r="D935" s="13"/>
      <c r="E935" s="1"/>
      <c r="F935" s="1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3"/>
      <c r="D936" s="13"/>
      <c r="E936" s="1"/>
      <c r="F936" s="1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3"/>
      <c r="D937" s="13"/>
      <c r="E937" s="1"/>
      <c r="F937" s="1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3"/>
      <c r="D938" s="13"/>
      <c r="E938" s="1"/>
      <c r="F938" s="1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3"/>
      <c r="D939" s="13"/>
      <c r="E939" s="1"/>
      <c r="F939" s="1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3"/>
      <c r="D940" s="13"/>
      <c r="E940" s="1"/>
      <c r="F940" s="1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3"/>
      <c r="D941" s="13"/>
      <c r="E941" s="1"/>
      <c r="F941" s="1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3"/>
      <c r="D942" s="13"/>
      <c r="E942" s="1"/>
      <c r="F942" s="1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3"/>
      <c r="D943" s="13"/>
      <c r="E943" s="1"/>
      <c r="F943" s="1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3"/>
      <c r="D944" s="13"/>
      <c r="E944" s="1"/>
      <c r="F944" s="1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3"/>
      <c r="D945" s="13"/>
      <c r="E945" s="1"/>
      <c r="F945" s="1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3"/>
      <c r="D946" s="13"/>
      <c r="E946" s="1"/>
      <c r="F946" s="1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3"/>
      <c r="D947" s="13"/>
      <c r="E947" s="1"/>
      <c r="F947" s="1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3"/>
      <c r="D948" s="13"/>
      <c r="E948" s="1"/>
      <c r="F948" s="1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3"/>
      <c r="D949" s="13"/>
      <c r="E949" s="1"/>
      <c r="F949" s="1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3"/>
      <c r="D950" s="13"/>
      <c r="E950" s="1"/>
      <c r="F950" s="1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3"/>
      <c r="D951" s="13"/>
      <c r="E951" s="1"/>
      <c r="F951" s="1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3"/>
      <c r="D952" s="13"/>
      <c r="E952" s="1"/>
      <c r="F952" s="1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3"/>
      <c r="D953" s="13"/>
      <c r="E953" s="1"/>
      <c r="F953" s="1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3"/>
      <c r="D954" s="13"/>
      <c r="E954" s="1"/>
      <c r="F954" s="1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3"/>
      <c r="D955" s="13"/>
      <c r="E955" s="1"/>
      <c r="F955" s="1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3"/>
      <c r="D956" s="13"/>
      <c r="E956" s="1"/>
      <c r="F956" s="1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3"/>
      <c r="D957" s="13"/>
      <c r="E957" s="1"/>
      <c r="F957" s="1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3"/>
      <c r="D958" s="13"/>
      <c r="E958" s="1"/>
      <c r="F958" s="1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3"/>
      <c r="D959" s="13"/>
      <c r="E959" s="1"/>
      <c r="F959" s="1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3"/>
      <c r="D960" s="13"/>
      <c r="E960" s="1"/>
      <c r="F960" s="1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3"/>
      <c r="D961" s="13"/>
      <c r="E961" s="1"/>
      <c r="F961" s="1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3"/>
      <c r="D962" s="13"/>
      <c r="E962" s="1"/>
      <c r="F962" s="1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3"/>
      <c r="D963" s="13"/>
      <c r="E963" s="1"/>
      <c r="F963" s="1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3"/>
      <c r="D964" s="13"/>
      <c r="E964" s="1"/>
      <c r="F964" s="1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3"/>
      <c r="D965" s="13"/>
      <c r="E965" s="1"/>
      <c r="F965" s="1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3"/>
      <c r="D966" s="13"/>
      <c r="E966" s="1"/>
      <c r="F966" s="1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3"/>
      <c r="D967" s="13"/>
      <c r="E967" s="1"/>
      <c r="F967" s="1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3"/>
      <c r="D968" s="13"/>
      <c r="E968" s="1"/>
      <c r="F968" s="1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3"/>
      <c r="D969" s="13"/>
      <c r="E969" s="1"/>
      <c r="F969" s="1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3"/>
      <c r="D970" s="13"/>
      <c r="E970" s="1"/>
      <c r="F970" s="1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3"/>
      <c r="D971" s="13"/>
      <c r="E971" s="1"/>
      <c r="F971" s="1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3"/>
      <c r="D972" s="13"/>
      <c r="E972" s="1"/>
      <c r="F972" s="1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3"/>
      <c r="D973" s="13"/>
      <c r="E973" s="1"/>
      <c r="F973" s="1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3"/>
      <c r="D974" s="13"/>
      <c r="E974" s="1"/>
      <c r="F974" s="1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3"/>
      <c r="D975" s="13"/>
      <c r="E975" s="1"/>
      <c r="F975" s="1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3"/>
      <c r="D976" s="13"/>
      <c r="E976" s="1"/>
      <c r="F976" s="1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3"/>
      <c r="D977" s="13"/>
      <c r="E977" s="1"/>
      <c r="F977" s="1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3"/>
      <c r="D978" s="13"/>
      <c r="E978" s="1"/>
      <c r="F978" s="1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3"/>
      <c r="D979" s="13"/>
      <c r="E979" s="1"/>
      <c r="F979" s="1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3"/>
      <c r="D980" s="13"/>
      <c r="E980" s="1"/>
      <c r="F980" s="1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3"/>
      <c r="D981" s="13"/>
      <c r="E981" s="1"/>
      <c r="F981" s="1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3"/>
      <c r="D982" s="13"/>
      <c r="E982" s="1"/>
      <c r="F982" s="1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3"/>
      <c r="D983" s="13"/>
      <c r="E983" s="1"/>
      <c r="F983" s="1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3"/>
      <c r="D984" s="13"/>
      <c r="E984" s="1"/>
      <c r="F984" s="1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3"/>
      <c r="D985" s="13"/>
      <c r="E985" s="1"/>
      <c r="F985" s="1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3"/>
      <c r="D986" s="13"/>
      <c r="E986" s="1"/>
      <c r="F986" s="1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3"/>
      <c r="D987" s="13"/>
      <c r="E987" s="1"/>
      <c r="F987" s="1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3"/>
      <c r="D988" s="13"/>
      <c r="E988" s="1"/>
      <c r="F988" s="1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3"/>
      <c r="D989" s="13"/>
      <c r="E989" s="1"/>
      <c r="F989" s="1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3"/>
      <c r="D990" s="13"/>
      <c r="E990" s="1"/>
      <c r="F990" s="1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3"/>
      <c r="D991" s="13"/>
      <c r="E991" s="1"/>
      <c r="F991" s="1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3"/>
      <c r="D992" s="13"/>
      <c r="E992" s="1"/>
      <c r="F992" s="1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3"/>
      <c r="D993" s="13"/>
      <c r="E993" s="1"/>
      <c r="F993" s="1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3"/>
      <c r="D994" s="13"/>
      <c r="E994" s="1"/>
      <c r="F994" s="1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3"/>
      <c r="D995" s="13"/>
      <c r="E995" s="1"/>
      <c r="F995" s="1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3"/>
      <c r="D996" s="13"/>
      <c r="E996" s="1"/>
      <c r="F996" s="1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3"/>
      <c r="D997" s="13"/>
      <c r="E997" s="1"/>
      <c r="F997" s="1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3"/>
      <c r="D998" s="13"/>
      <c r="E998" s="1"/>
      <c r="F998" s="1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3"/>
      <c r="D999" s="13"/>
      <c r="E999" s="1"/>
      <c r="F999" s="1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3"/>
      <c r="D1000" s="13"/>
      <c r="E1000" s="1"/>
      <c r="F1000" s="1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2:$P$12"/>
  <mergeCells count="62">
    <mergeCell ref="L111:M111"/>
    <mergeCell ref="L128:M128"/>
    <mergeCell ref="I131:J131"/>
    <mergeCell ref="O132:P132"/>
    <mergeCell ref="N133:P133"/>
    <mergeCell ref="O163:P163"/>
    <mergeCell ref="E107:G107"/>
    <mergeCell ref="I107:J107"/>
    <mergeCell ref="H108:J108"/>
    <mergeCell ref="K112:M112"/>
    <mergeCell ref="O114:P114"/>
    <mergeCell ref="N115:P115"/>
    <mergeCell ref="F122:G122"/>
    <mergeCell ref="B1:H1"/>
    <mergeCell ref="B2:O2"/>
    <mergeCell ref="B9:E9"/>
    <mergeCell ref="B10:E10"/>
    <mergeCell ref="B11:D11"/>
    <mergeCell ref="E11:G11"/>
    <mergeCell ref="H11:J11"/>
    <mergeCell ref="K11:M11"/>
    <mergeCell ref="N11:P11"/>
    <mergeCell ref="F23:G23"/>
    <mergeCell ref="E24:G24"/>
    <mergeCell ref="L26:M26"/>
    <mergeCell ref="K27:M27"/>
    <mergeCell ref="H28:J28"/>
    <mergeCell ref="I27:J27"/>
    <mergeCell ref="H40:J40"/>
    <mergeCell ref="L40:M40"/>
    <mergeCell ref="C41:D41"/>
    <mergeCell ref="K41:M41"/>
    <mergeCell ref="F43:G43"/>
    <mergeCell ref="E44:G44"/>
    <mergeCell ref="I39:J39"/>
    <mergeCell ref="I57:J57"/>
    <mergeCell ref="C58:D58"/>
    <mergeCell ref="H58:J58"/>
    <mergeCell ref="O58:P58"/>
    <mergeCell ref="N59:P59"/>
    <mergeCell ref="C68:D68"/>
    <mergeCell ref="B69:D69"/>
    <mergeCell ref="L69:M69"/>
    <mergeCell ref="K70:M70"/>
    <mergeCell ref="F75:G75"/>
    <mergeCell ref="E76:G76"/>
    <mergeCell ref="O78:P78"/>
    <mergeCell ref="N79:P79"/>
    <mergeCell ref="C82:D82"/>
    <mergeCell ref="B83:D83"/>
    <mergeCell ref="I83:J83"/>
    <mergeCell ref="H84:J84"/>
    <mergeCell ref="L86:M86"/>
    <mergeCell ref="K87:M87"/>
    <mergeCell ref="F89:G89"/>
    <mergeCell ref="E90:G90"/>
    <mergeCell ref="C93:D93"/>
    <mergeCell ref="B94:D94"/>
    <mergeCell ref="O97:P97"/>
    <mergeCell ref="N98:P98"/>
    <mergeCell ref="C106:D106"/>
    <mergeCell ref="F106:G106"/>
  </mergeCells>
  <dataValidations>
    <dataValidation type="list" allowBlank="1" showErrorMessage="1" sqref="F13:F22 L13:L25 I13:I26 I29:I38 L28:L39 C13:C40 F25:F42 I41:I56 C43:C57 O13:O57 C60:C67 L42:L68 F45:F74 O60:O77 C70:C81 I59:I82 L71:L85 F77:F88 C84:C92 O80:O96 C95:C105 F91:F105 I85:I106 L88:L110 O99:O113 F108:F121 L113:L127 I109:I130 O116:O131 O134:O162">
      <formula1>"NA,Sim,Não,Às vezes"</formula1>
    </dataValidation>
  </dataValidation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7.43"/>
    <col customWidth="1" min="3" max="3" width="15.43"/>
    <col customWidth="1" min="4" max="4" width="19.0"/>
    <col customWidth="1" min="5" max="5" width="13.0"/>
    <col customWidth="1" min="6" max="6" width="14.0"/>
    <col customWidth="1" min="7" max="7" width="13.29"/>
    <col customWidth="1" min="8" max="8" width="26.29"/>
    <col customWidth="1" min="9" max="9" width="15.43"/>
    <col customWidth="1" min="10" max="10" width="15.57"/>
    <col customWidth="1" min="11" max="11" width="8.71"/>
    <col customWidth="1" min="12" max="12" width="9.14"/>
    <col customWidth="1" min="13" max="26" width="8.71"/>
  </cols>
  <sheetData>
    <row r="1">
      <c r="A1" s="1" t="s">
        <v>592</v>
      </c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28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>
      <c r="C3" s="29"/>
      <c r="D3" s="30"/>
      <c r="F3" s="30"/>
      <c r="I3" s="29"/>
      <c r="J3" s="29"/>
      <c r="L3" s="29"/>
    </row>
    <row r="4">
      <c r="C4" s="29"/>
      <c r="D4" s="30"/>
      <c r="F4" s="30"/>
      <c r="I4" s="29"/>
      <c r="J4" s="29"/>
      <c r="L4" s="29"/>
    </row>
    <row r="5" ht="33.75" customHeight="1">
      <c r="A5" s="31"/>
      <c r="B5" s="32" t="s">
        <v>593</v>
      </c>
      <c r="C5" s="33">
        <f>((E31+K31+E41+K41+E51)/12)/6</f>
        <v>0.2864923747</v>
      </c>
      <c r="D5" s="30"/>
      <c r="E5" s="31"/>
      <c r="F5" s="30"/>
      <c r="G5" s="31"/>
      <c r="H5" s="31"/>
      <c r="I5" s="30"/>
      <c r="J5" s="30"/>
      <c r="K5" s="31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C6" s="13"/>
      <c r="D6" s="13"/>
      <c r="E6" s="34"/>
      <c r="F6" s="13"/>
      <c r="I6" s="29"/>
      <c r="J6" s="29"/>
      <c r="L6" s="29"/>
    </row>
    <row r="7" ht="18.75" customHeight="1">
      <c r="B7" s="35" t="s">
        <v>594</v>
      </c>
      <c r="C7" s="36"/>
      <c r="D7" s="13"/>
      <c r="E7" s="34"/>
      <c r="F7" s="13"/>
      <c r="I7" s="29"/>
      <c r="J7" s="29"/>
      <c r="L7" s="29"/>
    </row>
    <row r="8">
      <c r="B8" s="37" t="str">
        <f t="shared" ref="B8:B12" si="1">B17</f>
        <v>SOCIALIZAÇÃO</v>
      </c>
      <c r="C8" s="38">
        <f>E32</f>
        <v>0</v>
      </c>
      <c r="D8" s="13"/>
      <c r="E8" s="34"/>
      <c r="F8" s="13"/>
      <c r="I8" s="29"/>
      <c r="J8" s="29"/>
      <c r="L8" s="29"/>
    </row>
    <row r="9">
      <c r="B9" s="37" t="str">
        <f t="shared" si="1"/>
        <v>LINGUAGEM</v>
      </c>
      <c r="C9" s="38">
        <f>K32</f>
        <v>0</v>
      </c>
      <c r="D9" s="13"/>
      <c r="E9" s="34"/>
      <c r="F9" s="13"/>
      <c r="I9" s="29"/>
      <c r="J9" s="29"/>
      <c r="L9" s="29"/>
    </row>
    <row r="10">
      <c r="B10" s="37" t="str">
        <f t="shared" si="1"/>
        <v>COGNIÇÃO</v>
      </c>
      <c r="C10" s="38">
        <f>E42</f>
        <v>0</v>
      </c>
      <c r="D10" s="13"/>
      <c r="E10" s="34"/>
      <c r="F10" s="13"/>
      <c r="I10" s="29"/>
      <c r="J10" s="29"/>
      <c r="L10" s="29"/>
    </row>
    <row r="11">
      <c r="B11" s="37" t="str">
        <f t="shared" si="1"/>
        <v>AUTOCUIDADOS</v>
      </c>
      <c r="C11" s="38">
        <f>K42</f>
        <v>0.7777777778</v>
      </c>
      <c r="D11" s="13"/>
      <c r="E11" s="34"/>
      <c r="F11" s="13"/>
      <c r="I11" s="29"/>
      <c r="J11" s="29"/>
      <c r="L11" s="29"/>
    </row>
    <row r="12">
      <c r="B12" s="37" t="str">
        <f t="shared" si="1"/>
        <v>DESENVOLVIMENTO MOTOR</v>
      </c>
      <c r="C12" s="38">
        <f>E52</f>
        <v>0.9411764706</v>
      </c>
      <c r="D12" s="13"/>
      <c r="E12" s="34"/>
      <c r="F12" s="13"/>
      <c r="I12" s="29"/>
      <c r="J12" s="29"/>
      <c r="L12" s="29"/>
    </row>
    <row r="13">
      <c r="C13" s="13"/>
      <c r="D13" s="13"/>
      <c r="E13" s="34"/>
      <c r="F13" s="13"/>
      <c r="I13" s="29"/>
      <c r="J13" s="29"/>
      <c r="L13" s="29"/>
    </row>
    <row r="14">
      <c r="B14" s="39" t="s">
        <v>595</v>
      </c>
      <c r="I14" s="29"/>
      <c r="J14" s="29"/>
      <c r="L14" s="29"/>
    </row>
    <row r="15" ht="18.75" customHeight="1">
      <c r="B15" s="40"/>
      <c r="C15" s="41" t="s">
        <v>596</v>
      </c>
      <c r="D15" s="42"/>
      <c r="E15" s="42"/>
      <c r="F15" s="42"/>
      <c r="G15" s="42"/>
      <c r="H15" s="36"/>
      <c r="I15" s="40"/>
      <c r="J15" s="29"/>
      <c r="L15" s="29"/>
    </row>
    <row r="16">
      <c r="A16" s="43"/>
      <c r="B16" s="44" t="s">
        <v>597</v>
      </c>
      <c r="C16" s="45" t="s">
        <v>598</v>
      </c>
      <c r="D16" s="45" t="s">
        <v>599</v>
      </c>
      <c r="E16" s="45" t="s">
        <v>600</v>
      </c>
      <c r="F16" s="45" t="s">
        <v>601</v>
      </c>
      <c r="G16" s="45" t="s">
        <v>602</v>
      </c>
      <c r="H16" s="45" t="s">
        <v>603</v>
      </c>
      <c r="I16" s="44" t="s">
        <v>604</v>
      </c>
      <c r="J16" s="43"/>
      <c r="K16" s="46"/>
      <c r="L16" s="47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B17" s="48" t="str">
        <f>B24</f>
        <v>SOCIALIZAÇÃO</v>
      </c>
      <c r="C17" s="49">
        <v>0.0</v>
      </c>
      <c r="D17" s="49">
        <v>0.0</v>
      </c>
      <c r="E17" s="49">
        <f>F27</f>
        <v>0</v>
      </c>
      <c r="F17" s="49">
        <f>F28</f>
        <v>0</v>
      </c>
      <c r="G17" s="49">
        <f>F29</f>
        <v>0</v>
      </c>
      <c r="H17" s="49">
        <f>F30</f>
        <v>0</v>
      </c>
      <c r="I17" s="49">
        <f>F31</f>
        <v>0</v>
      </c>
      <c r="J17" s="29"/>
      <c r="L17" s="29"/>
    </row>
    <row r="18">
      <c r="B18" s="48" t="str">
        <f>H24</f>
        <v>LINGUAGEM</v>
      </c>
      <c r="C18" s="49">
        <f>L25</f>
        <v>0</v>
      </c>
      <c r="D18" s="49">
        <v>0.0</v>
      </c>
      <c r="E18" s="49">
        <v>0.0</v>
      </c>
      <c r="F18" s="49">
        <f>L28</f>
        <v>0</v>
      </c>
      <c r="G18" s="49">
        <f>L29</f>
        <v>0</v>
      </c>
      <c r="H18" s="49">
        <f>L30</f>
        <v>0</v>
      </c>
      <c r="I18" s="49">
        <f>L31</f>
        <v>0</v>
      </c>
      <c r="J18" s="29"/>
      <c r="L18" s="29"/>
    </row>
    <row r="19">
      <c r="B19" s="48" t="str">
        <f>B34</f>
        <v>COGNIÇÃO</v>
      </c>
      <c r="C19" s="49">
        <v>0.0</v>
      </c>
      <c r="D19" s="49">
        <v>0.0</v>
      </c>
      <c r="E19" s="49">
        <f>F37</f>
        <v>0</v>
      </c>
      <c r="F19" s="49">
        <f>F38</f>
        <v>0</v>
      </c>
      <c r="G19" s="49">
        <f>F39</f>
        <v>0</v>
      </c>
      <c r="H19" s="49">
        <f>F40</f>
        <v>0</v>
      </c>
      <c r="I19" s="49">
        <f>F41</f>
        <v>0</v>
      </c>
      <c r="J19" s="29"/>
      <c r="L19" s="29"/>
    </row>
    <row r="20">
      <c r="B20" s="48" t="str">
        <f>H34</f>
        <v>AUTOCUIDADOS</v>
      </c>
      <c r="C20" s="49">
        <v>0.0</v>
      </c>
      <c r="D20" s="49">
        <v>0.0</v>
      </c>
      <c r="E20" s="49">
        <f>L37</f>
        <v>0.7777777778</v>
      </c>
      <c r="F20" s="49">
        <f>L38</f>
        <v>0</v>
      </c>
      <c r="G20" s="49">
        <f>L39</f>
        <v>0</v>
      </c>
      <c r="H20" s="49">
        <f>L40</f>
        <v>0</v>
      </c>
      <c r="I20" s="49">
        <f>L41</f>
        <v>0.2</v>
      </c>
      <c r="J20" s="29"/>
      <c r="L20" s="29"/>
    </row>
    <row r="21" ht="15.75" customHeight="1">
      <c r="B21" s="48" t="str">
        <f>B44</f>
        <v>DESENVOLVIMENTO MOTOR</v>
      </c>
      <c r="C21" s="49">
        <v>0.0</v>
      </c>
      <c r="D21" s="49">
        <v>0.0</v>
      </c>
      <c r="E21" s="49">
        <f>F47</f>
        <v>0.9411764706</v>
      </c>
      <c r="F21" s="49">
        <f>F48</f>
        <v>0</v>
      </c>
      <c r="G21" s="49">
        <f>F49</f>
        <v>0</v>
      </c>
      <c r="H21" s="49">
        <f>F50</f>
        <v>0</v>
      </c>
      <c r="I21" s="49">
        <f>F51</f>
        <v>0.1142857143</v>
      </c>
      <c r="J21" s="29"/>
      <c r="L21" s="29"/>
    </row>
    <row r="22" ht="15.75" customHeight="1">
      <c r="C22" s="13"/>
      <c r="D22" s="13"/>
      <c r="E22" s="34"/>
      <c r="F22" s="13"/>
      <c r="I22" s="29"/>
      <c r="J22" s="29"/>
      <c r="L22" s="29"/>
    </row>
    <row r="23" ht="15.75" customHeight="1">
      <c r="C23" s="29"/>
      <c r="D23" s="30"/>
      <c r="F23" s="30"/>
      <c r="I23" s="29"/>
      <c r="J23" s="29"/>
      <c r="L23" s="29"/>
    </row>
    <row r="24" ht="15.75" customHeight="1">
      <c r="B24" s="50" t="s">
        <v>9</v>
      </c>
      <c r="C24" s="51" t="s">
        <v>605</v>
      </c>
      <c r="D24" s="51" t="s">
        <v>606</v>
      </c>
      <c r="E24" s="51" t="s">
        <v>607</v>
      </c>
      <c r="F24" s="51" t="s">
        <v>608</v>
      </c>
      <c r="H24" s="50" t="s">
        <v>10</v>
      </c>
      <c r="I24" s="51" t="s">
        <v>605</v>
      </c>
      <c r="J24" s="51" t="s">
        <v>606</v>
      </c>
      <c r="K24" s="51" t="s">
        <v>607</v>
      </c>
      <c r="L24" s="51" t="s">
        <v>608</v>
      </c>
    </row>
    <row r="25" ht="15.75" customHeight="1">
      <c r="B25" s="48" t="str">
        <f>'AV 1'!B12</f>
        <v>Socialização - 0 a 1 ano</v>
      </c>
      <c r="C25" s="52">
        <f>'AV 1'!C41</f>
        <v>0</v>
      </c>
      <c r="D25" s="52">
        <v>28.0</v>
      </c>
      <c r="E25" s="53">
        <f t="shared" ref="E25:E30" si="2">(C25*12)/D25</f>
        <v>0</v>
      </c>
      <c r="F25" s="49">
        <f t="shared" ref="F25:F31" si="3">C25/D25</f>
        <v>0</v>
      </c>
      <c r="H25" s="37" t="str">
        <f>'AV 1'!E12</f>
        <v>Linguagem – 0 a 1 anos</v>
      </c>
      <c r="I25" s="54">
        <f>'AV 1'!F23</f>
        <v>0</v>
      </c>
      <c r="J25" s="54">
        <v>10.0</v>
      </c>
      <c r="K25" s="53">
        <f t="shared" ref="K25:K30" si="4">(I25*12)/J25</f>
        <v>0</v>
      </c>
      <c r="L25" s="55">
        <f t="shared" ref="L25:L31" si="5">I25/J25</f>
        <v>0</v>
      </c>
    </row>
    <row r="26" ht="15.75" customHeight="1">
      <c r="B26" s="48" t="str">
        <f>'AV 1'!B42</f>
        <v>Socialização – 1 a 2 anos</v>
      </c>
      <c r="C26" s="52">
        <f>'AV 1'!C58</f>
        <v>0</v>
      </c>
      <c r="D26" s="52">
        <v>15.0</v>
      </c>
      <c r="E26" s="53">
        <f t="shared" si="2"/>
        <v>0</v>
      </c>
      <c r="F26" s="49">
        <f t="shared" si="3"/>
        <v>0</v>
      </c>
      <c r="H26" s="37" t="str">
        <f>'AV 1'!E24</f>
        <v>Linguagem – 1 a 2 anos</v>
      </c>
      <c r="I26" s="54">
        <f>'AV 1'!F43</f>
        <v>0</v>
      </c>
      <c r="J26" s="54">
        <v>18.0</v>
      </c>
      <c r="K26" s="53">
        <f t="shared" si="4"/>
        <v>0</v>
      </c>
      <c r="L26" s="55">
        <f t="shared" si="5"/>
        <v>0</v>
      </c>
    </row>
    <row r="27" ht="15.75" customHeight="1">
      <c r="B27" s="48" t="str">
        <f>'AV 1'!B59</f>
        <v>Socialização – 2 a 3 anos</v>
      </c>
      <c r="C27" s="52">
        <f>'AV 1'!C68</f>
        <v>0</v>
      </c>
      <c r="D27" s="52">
        <v>8.0</v>
      </c>
      <c r="E27" s="53">
        <f t="shared" si="2"/>
        <v>0</v>
      </c>
      <c r="F27" s="49">
        <f t="shared" si="3"/>
        <v>0</v>
      </c>
      <c r="H27" s="37" t="str">
        <f>'AV 1'!E44</f>
        <v>Linguagem – 2 a 3 anos</v>
      </c>
      <c r="I27" s="54">
        <f>'AV 1'!F75</f>
        <v>0</v>
      </c>
      <c r="J27" s="54">
        <v>30.0</v>
      </c>
      <c r="K27" s="53">
        <f t="shared" si="4"/>
        <v>0</v>
      </c>
      <c r="L27" s="55">
        <f t="shared" si="5"/>
        <v>0</v>
      </c>
    </row>
    <row r="28" ht="15.75" customHeight="1">
      <c r="B28" s="48" t="str">
        <f>'AV 1'!B69</f>
        <v>Socialização – 3 a 4 anos</v>
      </c>
      <c r="C28" s="52">
        <f>'AV 1'!C82</f>
        <v>0</v>
      </c>
      <c r="D28" s="52">
        <v>12.0</v>
      </c>
      <c r="E28" s="53">
        <f t="shared" si="2"/>
        <v>0</v>
      </c>
      <c r="F28" s="49">
        <f t="shared" si="3"/>
        <v>0</v>
      </c>
      <c r="H28" s="37" t="str">
        <f>'AV 1'!E76</f>
        <v>Linguagem – 3 a 4 anos</v>
      </c>
      <c r="I28" s="54">
        <f>'AV 1'!F89</f>
        <v>0</v>
      </c>
      <c r="J28" s="54">
        <v>12.0</v>
      </c>
      <c r="K28" s="53">
        <f t="shared" si="4"/>
        <v>0</v>
      </c>
      <c r="L28" s="55">
        <f t="shared" si="5"/>
        <v>0</v>
      </c>
    </row>
    <row r="29" ht="15.75" customHeight="1">
      <c r="B29" s="48" t="str">
        <f>'AV 1'!B83</f>
        <v>Socialização – 4 a 5 anos</v>
      </c>
      <c r="C29" s="52">
        <f>'AV 1'!C93</f>
        <v>0</v>
      </c>
      <c r="D29" s="52">
        <v>9.0</v>
      </c>
      <c r="E29" s="53">
        <f t="shared" si="2"/>
        <v>0</v>
      </c>
      <c r="F29" s="49">
        <f t="shared" si="3"/>
        <v>0</v>
      </c>
      <c r="H29" s="37" t="str">
        <f>'AV 1'!E90</f>
        <v>Linguagem – 4 a 5 anos</v>
      </c>
      <c r="I29" s="54">
        <f>'AV 1'!F106</f>
        <v>0</v>
      </c>
      <c r="J29" s="54">
        <v>15.0</v>
      </c>
      <c r="K29" s="53">
        <f t="shared" si="4"/>
        <v>0</v>
      </c>
      <c r="L29" s="55">
        <f t="shared" si="5"/>
        <v>0</v>
      </c>
    </row>
    <row r="30" ht="15.75" customHeight="1">
      <c r="B30" s="48" t="str">
        <f>'AV 1'!B94</f>
        <v>Socialização – 5 a 6 anos</v>
      </c>
      <c r="C30" s="52">
        <f>'AV 1'!C106</f>
        <v>0</v>
      </c>
      <c r="D30" s="52">
        <v>11.0</v>
      </c>
      <c r="E30" s="53">
        <f t="shared" si="2"/>
        <v>0</v>
      </c>
      <c r="F30" s="49">
        <f t="shared" si="3"/>
        <v>0</v>
      </c>
      <c r="H30" s="37" t="str">
        <f>'AV 1'!E107</f>
        <v>Linguagem – 5 a 6 anos</v>
      </c>
      <c r="I30" s="54">
        <f>'AV 1'!F122</f>
        <v>0</v>
      </c>
      <c r="J30" s="54">
        <v>14.0</v>
      </c>
      <c r="K30" s="53">
        <f t="shared" si="4"/>
        <v>0</v>
      </c>
      <c r="L30" s="55">
        <f t="shared" si="5"/>
        <v>0</v>
      </c>
    </row>
    <row r="31" ht="15.75" customHeight="1">
      <c r="B31" s="56" t="s">
        <v>609</v>
      </c>
      <c r="C31" s="51">
        <f t="shared" ref="C31:E31" si="6">SUM(C25:C30)</f>
        <v>0</v>
      </c>
      <c r="D31" s="51">
        <f t="shared" si="6"/>
        <v>83</v>
      </c>
      <c r="E31" s="57">
        <f t="shared" si="6"/>
        <v>0</v>
      </c>
      <c r="F31" s="58">
        <f t="shared" si="3"/>
        <v>0</v>
      </c>
      <c r="H31" s="56" t="s">
        <v>609</v>
      </c>
      <c r="I31" s="51">
        <f t="shared" ref="I31:K31" si="7">SUM(I25:I30)</f>
        <v>0</v>
      </c>
      <c r="J31" s="59">
        <f t="shared" si="7"/>
        <v>99</v>
      </c>
      <c r="K31" s="60">
        <f t="shared" si="7"/>
        <v>0</v>
      </c>
      <c r="L31" s="61">
        <f t="shared" si="5"/>
        <v>0</v>
      </c>
    </row>
    <row r="32" ht="21.0" customHeight="1">
      <c r="B32" s="62" t="s">
        <v>610</v>
      </c>
      <c r="C32" s="42"/>
      <c r="D32" s="36"/>
      <c r="E32" s="63">
        <f>E31/12</f>
        <v>0</v>
      </c>
      <c r="F32" s="64"/>
      <c r="H32" s="62" t="s">
        <v>611</v>
      </c>
      <c r="I32" s="42"/>
      <c r="J32" s="36"/>
      <c r="K32" s="65">
        <f>K31/12</f>
        <v>0</v>
      </c>
      <c r="L32" s="66"/>
    </row>
    <row r="33" ht="15.75" customHeight="1">
      <c r="C33" s="29"/>
      <c r="D33" s="30"/>
      <c r="F33" s="30"/>
      <c r="I33" s="29"/>
      <c r="J33" s="29"/>
      <c r="L33" s="29"/>
    </row>
    <row r="34" ht="15.75" customHeight="1">
      <c r="B34" s="50" t="s">
        <v>11</v>
      </c>
      <c r="C34" s="51" t="s">
        <v>605</v>
      </c>
      <c r="D34" s="51" t="s">
        <v>606</v>
      </c>
      <c r="E34" s="51" t="s">
        <v>607</v>
      </c>
      <c r="F34" s="51" t="s">
        <v>608</v>
      </c>
      <c r="H34" s="50" t="s">
        <v>12</v>
      </c>
      <c r="I34" s="51" t="s">
        <v>605</v>
      </c>
      <c r="J34" s="51" t="s">
        <v>606</v>
      </c>
      <c r="K34" s="51" t="s">
        <v>607</v>
      </c>
      <c r="L34" s="51" t="s">
        <v>608</v>
      </c>
    </row>
    <row r="35" ht="15.75" customHeight="1">
      <c r="B35" s="37" t="str">
        <f>'AV 1'!H12</f>
        <v>Cognição – 0 a 1 ano</v>
      </c>
      <c r="C35" s="54">
        <f>'AV 1'!I27</f>
        <v>0</v>
      </c>
      <c r="D35" s="67">
        <v>14.0</v>
      </c>
      <c r="E35" s="53">
        <f t="shared" ref="E35:E40" si="8">(C35*12)/D35</f>
        <v>0</v>
      </c>
      <c r="F35" s="68">
        <f t="shared" ref="F35:F41" si="9">C35/D35</f>
        <v>0</v>
      </c>
      <c r="H35" s="37" t="str">
        <f>'AV 1'!K12</f>
        <v>Auto cuidados – 0 a 1 anos</v>
      </c>
      <c r="I35" s="54">
        <f>'AV 1'!L26</f>
        <v>0</v>
      </c>
      <c r="J35" s="54">
        <v>13.0</v>
      </c>
      <c r="K35" s="53">
        <f t="shared" ref="K35:K40" si="10">(I35*12)/J35</f>
        <v>0</v>
      </c>
      <c r="L35" s="55">
        <f t="shared" ref="L35:L41" si="11">I35/J35</f>
        <v>0</v>
      </c>
    </row>
    <row r="36" ht="15.75" customHeight="1">
      <c r="B36" s="37" t="str">
        <f>'AV 1'!H28</f>
        <v>Cognição – 1 a 2 anos</v>
      </c>
      <c r="C36" s="54">
        <f>'AV 1'!I39</f>
        <v>0</v>
      </c>
      <c r="D36" s="67">
        <v>10.0</v>
      </c>
      <c r="E36" s="53">
        <f t="shared" si="8"/>
        <v>0</v>
      </c>
      <c r="F36" s="68">
        <f t="shared" si="9"/>
        <v>0</v>
      </c>
      <c r="H36" s="37" t="str">
        <f>'AV 1'!K27</f>
        <v>Auto cuidados – 1 a 2 anos</v>
      </c>
      <c r="I36" s="54">
        <f>'AV 1'!L40</f>
        <v>0</v>
      </c>
      <c r="J36" s="54">
        <v>12.0</v>
      </c>
      <c r="K36" s="53">
        <f t="shared" si="10"/>
        <v>0</v>
      </c>
      <c r="L36" s="55">
        <f t="shared" si="11"/>
        <v>0</v>
      </c>
    </row>
    <row r="37" ht="15.75" customHeight="1">
      <c r="B37" s="37" t="str">
        <f>'AV 1'!H40</f>
        <v>Cognição – 2 a 3 anos</v>
      </c>
      <c r="C37" s="54">
        <f>'AV 1'!I57</f>
        <v>0</v>
      </c>
      <c r="D37" s="67">
        <v>16.0</v>
      </c>
      <c r="E37" s="53">
        <f t="shared" si="8"/>
        <v>0</v>
      </c>
      <c r="F37" s="68">
        <f t="shared" si="9"/>
        <v>0</v>
      </c>
      <c r="H37" s="37" t="str">
        <f>'AV 1'!K41</f>
        <v>Auto cuidados – 2 a 3 anos</v>
      </c>
      <c r="I37" s="54">
        <f>'AV 1'!L69</f>
        <v>21</v>
      </c>
      <c r="J37" s="54">
        <v>27.0</v>
      </c>
      <c r="K37" s="53">
        <f t="shared" si="10"/>
        <v>9.333333333</v>
      </c>
      <c r="L37" s="55">
        <f t="shared" si="11"/>
        <v>0.7777777778</v>
      </c>
    </row>
    <row r="38" ht="15.75" customHeight="1">
      <c r="B38" s="37" t="str">
        <f>'AV 1'!H58</f>
        <v>Cognição – 3 a 4 anos</v>
      </c>
      <c r="C38" s="54">
        <f>'AV 1'!I83</f>
        <v>0</v>
      </c>
      <c r="D38" s="67">
        <v>24.0</v>
      </c>
      <c r="E38" s="53">
        <f t="shared" si="8"/>
        <v>0</v>
      </c>
      <c r="F38" s="68">
        <f t="shared" si="9"/>
        <v>0</v>
      </c>
      <c r="H38" s="37" t="str">
        <f>'AV 1'!K70</f>
        <v>Auto cuidados – 3 a 4 anos</v>
      </c>
      <c r="I38" s="54">
        <f>'AV 1'!L86</f>
        <v>0</v>
      </c>
      <c r="J38" s="54">
        <v>15.0</v>
      </c>
      <c r="K38" s="53">
        <f t="shared" si="10"/>
        <v>0</v>
      </c>
      <c r="L38" s="55">
        <f t="shared" si="11"/>
        <v>0</v>
      </c>
    </row>
    <row r="39" ht="15.75" customHeight="1">
      <c r="B39" s="37" t="str">
        <f>'AV 1'!H84</f>
        <v>Cognição – 4 a 5 anos</v>
      </c>
      <c r="C39" s="54">
        <f>'AV 1'!I107</f>
        <v>0</v>
      </c>
      <c r="D39" s="67">
        <v>22.0</v>
      </c>
      <c r="E39" s="53">
        <f t="shared" si="8"/>
        <v>0</v>
      </c>
      <c r="F39" s="68">
        <f t="shared" si="9"/>
        <v>0</v>
      </c>
      <c r="H39" s="37" t="str">
        <f>'AV 1'!K87</f>
        <v>Auto cuidados – 4 a 5 anos</v>
      </c>
      <c r="I39" s="54">
        <f>'AV 1'!L111</f>
        <v>0</v>
      </c>
      <c r="J39" s="54">
        <v>23.0</v>
      </c>
      <c r="K39" s="53">
        <f t="shared" si="10"/>
        <v>0</v>
      </c>
      <c r="L39" s="55">
        <f t="shared" si="11"/>
        <v>0</v>
      </c>
    </row>
    <row r="40" ht="15.75" customHeight="1">
      <c r="B40" s="37" t="str">
        <f>'AV 1'!H108</f>
        <v>Cognição – 5 a 6 anos</v>
      </c>
      <c r="C40" s="54">
        <f>'AV 1'!I131</f>
        <v>0</v>
      </c>
      <c r="D40" s="67">
        <v>22.0</v>
      </c>
      <c r="E40" s="53">
        <f t="shared" si="8"/>
        <v>0</v>
      </c>
      <c r="F40" s="68">
        <f t="shared" si="9"/>
        <v>0</v>
      </c>
      <c r="H40" s="37" t="str">
        <f>'AV 1'!K112</f>
        <v>Auto cuidados – 5 a 6 anos</v>
      </c>
      <c r="I40" s="54">
        <f>'AV 1'!L128</f>
        <v>0</v>
      </c>
      <c r="J40" s="54">
        <v>15.0</v>
      </c>
      <c r="K40" s="53">
        <f t="shared" si="10"/>
        <v>0</v>
      </c>
      <c r="L40" s="55">
        <f t="shared" si="11"/>
        <v>0</v>
      </c>
    </row>
    <row r="41" ht="17.25" customHeight="1">
      <c r="B41" s="56" t="s">
        <v>609</v>
      </c>
      <c r="C41" s="51">
        <f t="shared" ref="C41:E41" si="12">SUM(C35:C40)</f>
        <v>0</v>
      </c>
      <c r="D41" s="51">
        <f t="shared" si="12"/>
        <v>108</v>
      </c>
      <c r="E41" s="60">
        <f t="shared" si="12"/>
        <v>0</v>
      </c>
      <c r="F41" s="58">
        <f t="shared" si="9"/>
        <v>0</v>
      </c>
      <c r="H41" s="56" t="s">
        <v>609</v>
      </c>
      <c r="I41" s="51">
        <f t="shared" ref="I41:K41" si="13">SUM(I35:I40)</f>
        <v>21</v>
      </c>
      <c r="J41" s="59">
        <f t="shared" si="13"/>
        <v>105</v>
      </c>
      <c r="K41" s="60">
        <f t="shared" si="13"/>
        <v>9.333333333</v>
      </c>
      <c r="L41" s="61">
        <f t="shared" si="11"/>
        <v>0.2</v>
      </c>
    </row>
    <row r="42" ht="20.25" customHeight="1">
      <c r="B42" s="62" t="s">
        <v>612</v>
      </c>
      <c r="C42" s="42"/>
      <c r="D42" s="36"/>
      <c r="E42" s="65">
        <f>E41/12</f>
        <v>0</v>
      </c>
      <c r="F42" s="64"/>
      <c r="H42" s="62" t="s">
        <v>613</v>
      </c>
      <c r="I42" s="42"/>
      <c r="J42" s="36"/>
      <c r="K42" s="65">
        <f>K41/12</f>
        <v>0.7777777778</v>
      </c>
      <c r="L42" s="66"/>
    </row>
    <row r="43" ht="15.75" customHeight="1">
      <c r="C43" s="29"/>
      <c r="D43" s="30"/>
      <c r="F43" s="30"/>
      <c r="I43" s="29"/>
      <c r="J43" s="29"/>
      <c r="L43" s="29"/>
    </row>
    <row r="44" ht="15.75" customHeight="1">
      <c r="B44" s="50" t="s">
        <v>13</v>
      </c>
      <c r="C44" s="51" t="s">
        <v>605</v>
      </c>
      <c r="D44" s="51" t="s">
        <v>606</v>
      </c>
      <c r="E44" s="51" t="s">
        <v>607</v>
      </c>
      <c r="F44" s="51" t="s">
        <v>608</v>
      </c>
      <c r="I44" s="29"/>
      <c r="J44" s="29"/>
      <c r="L44" s="29"/>
    </row>
    <row r="45" ht="15.75" customHeight="1">
      <c r="B45" s="37" t="str">
        <f>'AV 1'!N12</f>
        <v>Desenvolvimento Motor – 0 a 1 ano</v>
      </c>
      <c r="C45" s="54">
        <f>'AV 1'!O58</f>
        <v>0</v>
      </c>
      <c r="D45" s="67">
        <v>45.0</v>
      </c>
      <c r="E45" s="53">
        <f t="shared" ref="E45:E50" si="14">(C45*12)/D45</f>
        <v>0</v>
      </c>
      <c r="F45" s="68">
        <f t="shared" ref="F45:F51" si="15">C45/D45</f>
        <v>0</v>
      </c>
      <c r="I45" s="29"/>
      <c r="J45" s="29"/>
      <c r="L45" s="29"/>
    </row>
    <row r="46" ht="15.75" customHeight="1">
      <c r="B46" s="37" t="str">
        <f>'AV 1'!N59</f>
        <v>Desenvolvimento Motor – 1 a 2 anos</v>
      </c>
      <c r="C46" s="54">
        <f>'AV 1'!O78</f>
        <v>0</v>
      </c>
      <c r="D46" s="67">
        <v>18.0</v>
      </c>
      <c r="E46" s="53">
        <f t="shared" si="14"/>
        <v>0</v>
      </c>
      <c r="F46" s="68">
        <f t="shared" si="15"/>
        <v>0</v>
      </c>
      <c r="I46" s="29"/>
      <c r="J46" s="29"/>
      <c r="L46" s="29"/>
    </row>
    <row r="47" ht="15.75" customHeight="1">
      <c r="B47" s="37" t="str">
        <f>'AV 1'!N79</f>
        <v>Desenvolvimento Motor – 2 a 3 anos</v>
      </c>
      <c r="C47" s="54">
        <f>'AV 1'!O97</f>
        <v>16</v>
      </c>
      <c r="D47" s="67">
        <v>17.0</v>
      </c>
      <c r="E47" s="53">
        <f t="shared" si="14"/>
        <v>11.29411765</v>
      </c>
      <c r="F47" s="68">
        <f t="shared" si="15"/>
        <v>0.9411764706</v>
      </c>
      <c r="I47" s="29"/>
      <c r="J47" s="29"/>
      <c r="L47" s="29"/>
    </row>
    <row r="48" ht="15.75" customHeight="1">
      <c r="B48" s="37" t="str">
        <f>'AV 1'!N98</f>
        <v>Desenvolvimento Motor – 3 a 4 ano</v>
      </c>
      <c r="C48" s="54">
        <f>'AV 1'!O114</f>
        <v>0</v>
      </c>
      <c r="D48" s="67">
        <v>15.0</v>
      </c>
      <c r="E48" s="53">
        <f t="shared" si="14"/>
        <v>0</v>
      </c>
      <c r="F48" s="68">
        <f t="shared" si="15"/>
        <v>0</v>
      </c>
      <c r="I48" s="29"/>
      <c r="J48" s="29"/>
      <c r="L48" s="29"/>
    </row>
    <row r="49" ht="15.75" customHeight="1">
      <c r="B49" s="37" t="str">
        <f>'AV 1'!N115</f>
        <v>Desenvolvimento Motor – 4 a 5 anos</v>
      </c>
      <c r="C49" s="54">
        <f>'AV 1'!O132</f>
        <v>0</v>
      </c>
      <c r="D49" s="67">
        <v>16.0</v>
      </c>
      <c r="E49" s="53">
        <f t="shared" si="14"/>
        <v>0</v>
      </c>
      <c r="F49" s="68">
        <f t="shared" si="15"/>
        <v>0</v>
      </c>
      <c r="I49" s="29"/>
      <c r="J49" s="29"/>
      <c r="L49" s="29"/>
    </row>
    <row r="50" ht="15.75" customHeight="1">
      <c r="B50" s="37" t="str">
        <f>'AV 1'!N133</f>
        <v>Desenvolvimento Motor – 5 a 6 anos</v>
      </c>
      <c r="C50" s="54">
        <f>'AV 1'!O163</f>
        <v>0</v>
      </c>
      <c r="D50" s="67">
        <v>29.0</v>
      </c>
      <c r="E50" s="53">
        <f t="shared" si="14"/>
        <v>0</v>
      </c>
      <c r="F50" s="68">
        <f t="shared" si="15"/>
        <v>0</v>
      </c>
      <c r="I50" s="29"/>
      <c r="J50" s="29"/>
      <c r="L50" s="29"/>
    </row>
    <row r="51" ht="18.75" customHeight="1">
      <c r="B51" s="56" t="s">
        <v>609</v>
      </c>
      <c r="C51" s="51">
        <f t="shared" ref="C51:E51" si="16">SUM(C45:C50)</f>
        <v>16</v>
      </c>
      <c r="D51" s="51">
        <f t="shared" si="16"/>
        <v>140</v>
      </c>
      <c r="E51" s="60">
        <f t="shared" si="16"/>
        <v>11.29411765</v>
      </c>
      <c r="F51" s="58">
        <f t="shared" si="15"/>
        <v>0.1142857143</v>
      </c>
      <c r="I51" s="29"/>
      <c r="J51" s="29"/>
      <c r="L51" s="29"/>
    </row>
    <row r="52" ht="20.25" customHeight="1">
      <c r="B52" s="62" t="s">
        <v>614</v>
      </c>
      <c r="C52" s="42"/>
      <c r="D52" s="36"/>
      <c r="E52" s="65">
        <f>E51/12</f>
        <v>0.9411764706</v>
      </c>
      <c r="F52" s="64"/>
      <c r="I52" s="29"/>
      <c r="J52" s="29"/>
      <c r="L52" s="29"/>
    </row>
    <row r="53" ht="15.75" customHeight="1">
      <c r="C53" s="29"/>
      <c r="D53" s="30"/>
      <c r="F53" s="30"/>
      <c r="I53" s="29"/>
      <c r="J53" s="29"/>
      <c r="L53" s="29"/>
    </row>
    <row r="54" ht="15.75" customHeight="1">
      <c r="C54" s="29"/>
      <c r="D54" s="30"/>
      <c r="F54" s="30"/>
      <c r="I54" s="29"/>
      <c r="J54" s="29"/>
      <c r="L54" s="29"/>
    </row>
    <row r="55" ht="15.75" customHeight="1">
      <c r="C55" s="29"/>
      <c r="D55" s="30"/>
      <c r="F55" s="30"/>
      <c r="I55" s="29"/>
      <c r="J55" s="29"/>
      <c r="L55" s="29"/>
    </row>
    <row r="56" ht="15.75" customHeight="1">
      <c r="C56" s="29"/>
      <c r="D56" s="30"/>
      <c r="F56" s="30"/>
      <c r="I56" s="29"/>
      <c r="J56" s="29"/>
      <c r="L56" s="29"/>
    </row>
    <row r="57" ht="15.75" customHeight="1">
      <c r="C57" s="29"/>
      <c r="D57" s="30"/>
      <c r="F57" s="30"/>
      <c r="I57" s="29"/>
      <c r="J57" s="29"/>
      <c r="L57" s="29"/>
    </row>
    <row r="58" ht="15.75" customHeight="1">
      <c r="C58" s="29"/>
      <c r="D58" s="30"/>
      <c r="F58" s="30"/>
      <c r="I58" s="29"/>
      <c r="J58" s="29"/>
      <c r="L58" s="29"/>
    </row>
    <row r="59" ht="15.75" customHeight="1">
      <c r="C59" s="29"/>
      <c r="D59" s="30"/>
      <c r="F59" s="30"/>
      <c r="I59" s="29"/>
      <c r="J59" s="29"/>
      <c r="L59" s="29"/>
    </row>
    <row r="60" ht="15.75" customHeight="1">
      <c r="C60" s="29"/>
      <c r="D60" s="30"/>
      <c r="F60" s="30"/>
      <c r="I60" s="29"/>
      <c r="J60" s="29"/>
      <c r="L60" s="29"/>
    </row>
    <row r="61" ht="15.75" customHeight="1">
      <c r="C61" s="29"/>
      <c r="D61" s="30"/>
      <c r="F61" s="30"/>
      <c r="I61" s="29"/>
      <c r="J61" s="29"/>
      <c r="L61" s="29"/>
    </row>
    <row r="62" ht="15.75" customHeight="1">
      <c r="C62" s="29"/>
      <c r="D62" s="30"/>
      <c r="F62" s="30"/>
      <c r="I62" s="29"/>
      <c r="J62" s="29"/>
      <c r="L62" s="29"/>
    </row>
    <row r="63" ht="15.75" customHeight="1">
      <c r="C63" s="29"/>
      <c r="D63" s="30"/>
      <c r="F63" s="30"/>
      <c r="I63" s="29"/>
      <c r="J63" s="29"/>
      <c r="L63" s="29"/>
    </row>
    <row r="64" ht="15.75" customHeight="1">
      <c r="C64" s="29"/>
      <c r="D64" s="30"/>
      <c r="F64" s="30"/>
      <c r="I64" s="29"/>
      <c r="J64" s="29"/>
      <c r="L64" s="29"/>
    </row>
    <row r="65" ht="15.75" customHeight="1">
      <c r="C65" s="29"/>
      <c r="D65" s="30"/>
      <c r="F65" s="30"/>
      <c r="I65" s="29"/>
      <c r="J65" s="29"/>
      <c r="L65" s="29"/>
    </row>
    <row r="66" ht="15.75" customHeight="1">
      <c r="C66" s="29"/>
      <c r="D66" s="30"/>
      <c r="F66" s="30"/>
      <c r="I66" s="29"/>
      <c r="J66" s="29"/>
      <c r="L66" s="29"/>
    </row>
    <row r="67" ht="15.75" customHeight="1">
      <c r="C67" s="29"/>
      <c r="D67" s="30"/>
      <c r="F67" s="30"/>
      <c r="I67" s="29"/>
      <c r="J67" s="29"/>
      <c r="L67" s="29"/>
    </row>
    <row r="68" ht="15.75" customHeight="1">
      <c r="C68" s="29"/>
      <c r="D68" s="30"/>
      <c r="F68" s="30"/>
      <c r="I68" s="29"/>
      <c r="J68" s="29"/>
      <c r="L68" s="29"/>
    </row>
    <row r="69" ht="15.75" customHeight="1">
      <c r="C69" s="29"/>
      <c r="D69" s="30"/>
      <c r="F69" s="30"/>
      <c r="I69" s="29"/>
      <c r="J69" s="29"/>
      <c r="L69" s="29"/>
    </row>
    <row r="70" ht="15.75" customHeight="1">
      <c r="C70" s="29"/>
      <c r="D70" s="30"/>
      <c r="F70" s="30"/>
      <c r="I70" s="29"/>
      <c r="J70" s="29"/>
      <c r="L70" s="29"/>
    </row>
    <row r="71" ht="15.75" customHeight="1">
      <c r="C71" s="29"/>
      <c r="D71" s="30"/>
      <c r="F71" s="30"/>
      <c r="I71" s="29"/>
      <c r="J71" s="29"/>
      <c r="L71" s="29"/>
    </row>
    <row r="72" ht="15.75" customHeight="1">
      <c r="C72" s="29"/>
      <c r="D72" s="30"/>
      <c r="F72" s="30"/>
      <c r="I72" s="29"/>
      <c r="J72" s="29"/>
      <c r="L72" s="29"/>
    </row>
    <row r="73" ht="15.75" customHeight="1">
      <c r="C73" s="29"/>
      <c r="D73" s="30"/>
      <c r="F73" s="30"/>
      <c r="I73" s="29"/>
      <c r="J73" s="29"/>
      <c r="L73" s="29"/>
    </row>
    <row r="74" ht="15.75" customHeight="1">
      <c r="C74" s="29"/>
      <c r="D74" s="30"/>
      <c r="F74" s="30"/>
      <c r="I74" s="29"/>
      <c r="J74" s="29"/>
      <c r="L74" s="29"/>
    </row>
    <row r="75" ht="15.75" customHeight="1">
      <c r="C75" s="29"/>
      <c r="D75" s="30"/>
      <c r="F75" s="30"/>
      <c r="I75" s="29"/>
      <c r="J75" s="29"/>
      <c r="L75" s="29"/>
    </row>
    <row r="76" ht="15.75" customHeight="1">
      <c r="C76" s="29"/>
      <c r="D76" s="30"/>
      <c r="F76" s="30"/>
      <c r="I76" s="29"/>
      <c r="J76" s="29"/>
      <c r="L76" s="29"/>
    </row>
    <row r="77" ht="15.75" customHeight="1">
      <c r="C77" s="29"/>
      <c r="D77" s="30"/>
      <c r="F77" s="30"/>
      <c r="I77" s="29"/>
      <c r="J77" s="29"/>
      <c r="L77" s="29"/>
    </row>
    <row r="78" ht="15.75" customHeight="1">
      <c r="C78" s="29"/>
      <c r="D78" s="30"/>
      <c r="F78" s="30"/>
      <c r="I78" s="29"/>
      <c r="J78" s="29"/>
      <c r="L78" s="29"/>
    </row>
    <row r="79" ht="15.75" customHeight="1">
      <c r="C79" s="29"/>
      <c r="D79" s="30"/>
      <c r="F79" s="30"/>
      <c r="I79" s="29"/>
      <c r="J79" s="29"/>
      <c r="L79" s="29"/>
    </row>
    <row r="80" ht="15.75" customHeight="1">
      <c r="C80" s="29"/>
      <c r="D80" s="30"/>
      <c r="F80" s="30"/>
      <c r="I80" s="29"/>
      <c r="J80" s="29"/>
      <c r="L80" s="29"/>
    </row>
    <row r="81" ht="15.75" customHeight="1">
      <c r="C81" s="29"/>
      <c r="D81" s="30"/>
      <c r="F81" s="30"/>
      <c r="I81" s="29"/>
      <c r="J81" s="29"/>
      <c r="L81" s="29"/>
    </row>
    <row r="82" ht="15.75" customHeight="1">
      <c r="C82" s="29"/>
      <c r="D82" s="30"/>
      <c r="F82" s="30"/>
      <c r="I82" s="29"/>
      <c r="J82" s="29"/>
      <c r="L82" s="29"/>
    </row>
    <row r="83" ht="15.75" customHeight="1">
      <c r="C83" s="29"/>
      <c r="D83" s="30"/>
      <c r="F83" s="30"/>
      <c r="I83" s="29"/>
      <c r="J83" s="29"/>
      <c r="L83" s="29"/>
    </row>
    <row r="84" ht="15.75" customHeight="1">
      <c r="C84" s="29"/>
      <c r="D84" s="30"/>
      <c r="F84" s="30"/>
      <c r="I84" s="29"/>
      <c r="J84" s="29"/>
      <c r="L84" s="29"/>
    </row>
    <row r="85" ht="15.75" customHeight="1">
      <c r="C85" s="29"/>
      <c r="D85" s="30"/>
      <c r="F85" s="30"/>
      <c r="I85" s="29"/>
      <c r="J85" s="29"/>
      <c r="L85" s="29"/>
    </row>
    <row r="86" ht="15.75" customHeight="1">
      <c r="C86" s="29"/>
      <c r="D86" s="30"/>
      <c r="F86" s="30"/>
      <c r="I86" s="29"/>
      <c r="J86" s="29"/>
      <c r="L86" s="29"/>
    </row>
    <row r="87" ht="15.75" customHeight="1">
      <c r="C87" s="29"/>
      <c r="D87" s="30"/>
      <c r="F87" s="30"/>
      <c r="I87" s="29"/>
      <c r="J87" s="29"/>
      <c r="L87" s="29"/>
    </row>
    <row r="88" ht="15.75" customHeight="1">
      <c r="C88" s="29"/>
      <c r="D88" s="30"/>
      <c r="F88" s="30"/>
      <c r="I88" s="29"/>
      <c r="J88" s="29"/>
      <c r="L88" s="29"/>
    </row>
    <row r="89" ht="15.75" customHeight="1">
      <c r="C89" s="29"/>
      <c r="D89" s="30"/>
      <c r="F89" s="30"/>
      <c r="I89" s="29"/>
      <c r="J89" s="29"/>
      <c r="L89" s="29"/>
    </row>
    <row r="90" ht="15.75" customHeight="1">
      <c r="C90" s="29"/>
      <c r="D90" s="30"/>
      <c r="F90" s="30"/>
      <c r="I90" s="29"/>
      <c r="J90" s="29"/>
      <c r="L90" s="29"/>
    </row>
    <row r="91" ht="15.75" customHeight="1">
      <c r="C91" s="29"/>
      <c r="D91" s="30"/>
      <c r="F91" s="30"/>
      <c r="I91" s="29"/>
      <c r="J91" s="29"/>
      <c r="L91" s="29"/>
    </row>
    <row r="92" ht="15.75" customHeight="1">
      <c r="C92" s="29"/>
      <c r="D92" s="30"/>
      <c r="F92" s="30"/>
      <c r="I92" s="29"/>
      <c r="J92" s="29"/>
      <c r="L92" s="29"/>
    </row>
    <row r="93" ht="15.75" customHeight="1">
      <c r="C93" s="29"/>
      <c r="D93" s="30"/>
      <c r="F93" s="30"/>
      <c r="I93" s="29"/>
      <c r="J93" s="29"/>
      <c r="L93" s="29"/>
    </row>
    <row r="94" ht="15.75" customHeight="1">
      <c r="C94" s="29"/>
      <c r="D94" s="30"/>
      <c r="F94" s="30"/>
      <c r="I94" s="29"/>
      <c r="J94" s="29"/>
      <c r="L94" s="29"/>
    </row>
    <row r="95" ht="15.75" customHeight="1">
      <c r="C95" s="29"/>
      <c r="D95" s="30"/>
      <c r="F95" s="30"/>
      <c r="I95" s="29"/>
      <c r="J95" s="29"/>
      <c r="L95" s="29"/>
    </row>
    <row r="96" ht="15.75" customHeight="1">
      <c r="C96" s="29"/>
      <c r="D96" s="30"/>
      <c r="F96" s="30"/>
      <c r="I96" s="29"/>
      <c r="J96" s="29"/>
      <c r="L96" s="29"/>
    </row>
    <row r="97" ht="15.75" customHeight="1">
      <c r="C97" s="29"/>
      <c r="D97" s="30"/>
      <c r="F97" s="30"/>
      <c r="I97" s="29"/>
      <c r="J97" s="29"/>
      <c r="L97" s="29"/>
    </row>
    <row r="98" ht="15.75" customHeight="1">
      <c r="C98" s="29"/>
      <c r="D98" s="30"/>
      <c r="F98" s="30"/>
      <c r="I98" s="29"/>
      <c r="J98" s="29"/>
      <c r="L98" s="29"/>
    </row>
    <row r="99" ht="15.75" customHeight="1">
      <c r="C99" s="29"/>
      <c r="D99" s="30"/>
      <c r="F99" s="30"/>
      <c r="I99" s="29"/>
      <c r="J99" s="29"/>
      <c r="L99" s="29"/>
    </row>
    <row r="100" ht="15.75" customHeight="1">
      <c r="C100" s="29"/>
      <c r="D100" s="30"/>
      <c r="F100" s="30"/>
      <c r="I100" s="29"/>
      <c r="J100" s="29"/>
      <c r="L100" s="29"/>
    </row>
    <row r="101" ht="15.75" customHeight="1">
      <c r="C101" s="29"/>
      <c r="D101" s="30"/>
      <c r="F101" s="30"/>
      <c r="I101" s="29"/>
      <c r="J101" s="29"/>
      <c r="L101" s="29"/>
    </row>
    <row r="102" ht="15.75" customHeight="1">
      <c r="C102" s="29"/>
      <c r="D102" s="30"/>
      <c r="F102" s="30"/>
      <c r="I102" s="29"/>
      <c r="J102" s="29"/>
      <c r="L102" s="29"/>
    </row>
    <row r="103" ht="15.75" customHeight="1">
      <c r="C103" s="29"/>
      <c r="D103" s="30"/>
      <c r="F103" s="30"/>
      <c r="I103" s="29"/>
      <c r="J103" s="29"/>
      <c r="L103" s="29"/>
    </row>
    <row r="104" ht="15.75" customHeight="1">
      <c r="C104" s="29"/>
      <c r="D104" s="30"/>
      <c r="F104" s="30"/>
      <c r="I104" s="29"/>
      <c r="J104" s="29"/>
      <c r="L104" s="29"/>
    </row>
    <row r="105" ht="15.75" customHeight="1">
      <c r="C105" s="29"/>
      <c r="D105" s="30"/>
      <c r="F105" s="30"/>
      <c r="I105" s="29"/>
      <c r="J105" s="29"/>
      <c r="L105" s="29"/>
    </row>
    <row r="106" ht="15.75" customHeight="1">
      <c r="C106" s="29"/>
      <c r="D106" s="30"/>
      <c r="F106" s="30"/>
      <c r="I106" s="29"/>
      <c r="J106" s="29"/>
      <c r="L106" s="29"/>
    </row>
    <row r="107" ht="15.75" customHeight="1">
      <c r="C107" s="29"/>
      <c r="D107" s="30"/>
      <c r="F107" s="30"/>
      <c r="I107" s="29"/>
      <c r="J107" s="29"/>
      <c r="L107" s="29"/>
    </row>
    <row r="108" ht="15.75" customHeight="1">
      <c r="C108" s="29"/>
      <c r="D108" s="30"/>
      <c r="F108" s="30"/>
      <c r="I108" s="29"/>
      <c r="J108" s="29"/>
      <c r="L108" s="29"/>
    </row>
    <row r="109" ht="15.75" customHeight="1">
      <c r="C109" s="29"/>
      <c r="D109" s="30"/>
      <c r="F109" s="30"/>
      <c r="I109" s="29"/>
      <c r="J109" s="29"/>
      <c r="L109" s="29"/>
    </row>
    <row r="110" ht="15.75" customHeight="1">
      <c r="C110" s="29"/>
      <c r="D110" s="30"/>
      <c r="F110" s="30"/>
      <c r="I110" s="29"/>
      <c r="J110" s="29"/>
      <c r="L110" s="29"/>
    </row>
    <row r="111" ht="15.75" customHeight="1">
      <c r="C111" s="29"/>
      <c r="D111" s="30"/>
      <c r="F111" s="30"/>
      <c r="I111" s="29"/>
      <c r="J111" s="29"/>
      <c r="L111" s="29"/>
    </row>
    <row r="112" ht="15.75" customHeight="1">
      <c r="C112" s="29"/>
      <c r="D112" s="30"/>
      <c r="F112" s="30"/>
      <c r="I112" s="29"/>
      <c r="J112" s="29"/>
      <c r="L112" s="29"/>
    </row>
    <row r="113" ht="15.75" customHeight="1">
      <c r="C113" s="29"/>
      <c r="D113" s="30"/>
      <c r="F113" s="30"/>
      <c r="I113" s="29"/>
      <c r="J113" s="29"/>
      <c r="L113" s="29"/>
    </row>
    <row r="114" ht="15.75" customHeight="1">
      <c r="C114" s="29"/>
      <c r="D114" s="30"/>
      <c r="F114" s="30"/>
      <c r="I114" s="29"/>
      <c r="J114" s="29"/>
      <c r="L114" s="29"/>
    </row>
    <row r="115" ht="15.75" customHeight="1">
      <c r="C115" s="29"/>
      <c r="D115" s="30"/>
      <c r="F115" s="30"/>
      <c r="I115" s="29"/>
      <c r="J115" s="29"/>
      <c r="L115" s="29"/>
    </row>
    <row r="116" ht="15.75" customHeight="1">
      <c r="C116" s="29"/>
      <c r="D116" s="30"/>
      <c r="F116" s="30"/>
      <c r="I116" s="29"/>
      <c r="J116" s="29"/>
      <c r="L116" s="29"/>
    </row>
    <row r="117" ht="15.75" customHeight="1">
      <c r="C117" s="29"/>
      <c r="D117" s="30"/>
      <c r="F117" s="30"/>
      <c r="I117" s="29"/>
      <c r="J117" s="29"/>
      <c r="L117" s="29"/>
    </row>
    <row r="118" ht="15.75" customHeight="1">
      <c r="C118" s="29"/>
      <c r="D118" s="30"/>
      <c r="F118" s="30"/>
      <c r="I118" s="29"/>
      <c r="J118" s="29"/>
      <c r="L118" s="29"/>
    </row>
    <row r="119" ht="15.75" customHeight="1">
      <c r="C119" s="29"/>
      <c r="D119" s="30"/>
      <c r="F119" s="30"/>
      <c r="I119" s="29"/>
      <c r="J119" s="29"/>
      <c r="L119" s="29"/>
    </row>
    <row r="120" ht="15.75" customHeight="1">
      <c r="C120" s="29"/>
      <c r="D120" s="30"/>
      <c r="F120" s="30"/>
      <c r="I120" s="29"/>
      <c r="J120" s="29"/>
      <c r="L120" s="29"/>
    </row>
    <row r="121" ht="15.75" customHeight="1">
      <c r="C121" s="29"/>
      <c r="D121" s="30"/>
      <c r="F121" s="30"/>
      <c r="I121" s="29"/>
      <c r="J121" s="29"/>
      <c r="L121" s="29"/>
    </row>
    <row r="122" ht="15.75" customHeight="1">
      <c r="C122" s="29"/>
      <c r="D122" s="30"/>
      <c r="F122" s="30"/>
      <c r="I122" s="29"/>
      <c r="J122" s="29"/>
      <c r="L122" s="29"/>
    </row>
    <row r="123" ht="15.75" customHeight="1">
      <c r="C123" s="29"/>
      <c r="D123" s="30"/>
      <c r="F123" s="30"/>
      <c r="I123" s="29"/>
      <c r="J123" s="29"/>
      <c r="L123" s="29"/>
    </row>
    <row r="124" ht="15.75" customHeight="1">
      <c r="C124" s="29"/>
      <c r="D124" s="30"/>
      <c r="F124" s="30"/>
      <c r="I124" s="29"/>
      <c r="J124" s="29"/>
      <c r="L124" s="29"/>
    </row>
    <row r="125" ht="15.75" customHeight="1">
      <c r="C125" s="29"/>
      <c r="D125" s="30"/>
      <c r="F125" s="30"/>
      <c r="I125" s="29"/>
      <c r="J125" s="29"/>
      <c r="L125" s="29"/>
    </row>
    <row r="126" ht="15.75" customHeight="1">
      <c r="C126" s="29"/>
      <c r="D126" s="30"/>
      <c r="F126" s="30"/>
      <c r="I126" s="29"/>
      <c r="J126" s="29"/>
      <c r="L126" s="29"/>
    </row>
    <row r="127" ht="15.75" customHeight="1">
      <c r="C127" s="29"/>
      <c r="D127" s="30"/>
      <c r="F127" s="30"/>
      <c r="I127" s="29"/>
      <c r="J127" s="29"/>
      <c r="L127" s="29"/>
    </row>
    <row r="128" ht="15.75" customHeight="1">
      <c r="C128" s="29"/>
      <c r="D128" s="30"/>
      <c r="F128" s="30"/>
      <c r="I128" s="29"/>
      <c r="J128" s="29"/>
      <c r="L128" s="29"/>
    </row>
    <row r="129" ht="15.75" customHeight="1">
      <c r="C129" s="29"/>
      <c r="D129" s="30"/>
      <c r="F129" s="30"/>
      <c r="I129" s="29"/>
      <c r="J129" s="29"/>
      <c r="L129" s="29"/>
    </row>
    <row r="130" ht="15.75" customHeight="1">
      <c r="C130" s="29"/>
      <c r="D130" s="30"/>
      <c r="F130" s="30"/>
      <c r="I130" s="29"/>
      <c r="J130" s="29"/>
      <c r="L130" s="29"/>
    </row>
    <row r="131" ht="15.75" customHeight="1">
      <c r="C131" s="29"/>
      <c r="D131" s="30"/>
      <c r="F131" s="30"/>
      <c r="I131" s="29"/>
      <c r="J131" s="29"/>
      <c r="L131" s="29"/>
    </row>
    <row r="132" ht="15.75" customHeight="1">
      <c r="C132" s="29"/>
      <c r="D132" s="30"/>
      <c r="F132" s="30"/>
      <c r="I132" s="29"/>
      <c r="J132" s="29"/>
      <c r="L132" s="29"/>
    </row>
    <row r="133" ht="15.75" customHeight="1">
      <c r="C133" s="29"/>
      <c r="D133" s="30"/>
      <c r="F133" s="30"/>
      <c r="I133" s="29"/>
      <c r="J133" s="29"/>
      <c r="L133" s="29"/>
    </row>
    <row r="134" ht="15.75" customHeight="1">
      <c r="C134" s="29"/>
      <c r="D134" s="30"/>
      <c r="F134" s="30"/>
      <c r="I134" s="29"/>
      <c r="J134" s="29"/>
      <c r="L134" s="29"/>
    </row>
    <row r="135" ht="15.75" customHeight="1">
      <c r="C135" s="29"/>
      <c r="D135" s="30"/>
      <c r="F135" s="30"/>
      <c r="I135" s="29"/>
      <c r="J135" s="29"/>
      <c r="L135" s="29"/>
    </row>
    <row r="136" ht="15.75" customHeight="1">
      <c r="C136" s="29"/>
      <c r="D136" s="30"/>
      <c r="F136" s="30"/>
      <c r="I136" s="29"/>
      <c r="J136" s="29"/>
      <c r="L136" s="29"/>
    </row>
    <row r="137" ht="15.75" customHeight="1">
      <c r="C137" s="29"/>
      <c r="D137" s="30"/>
      <c r="F137" s="30"/>
      <c r="I137" s="29"/>
      <c r="J137" s="29"/>
      <c r="L137" s="29"/>
    </row>
    <row r="138" ht="15.75" customHeight="1">
      <c r="C138" s="29"/>
      <c r="D138" s="30"/>
      <c r="F138" s="30"/>
      <c r="I138" s="29"/>
      <c r="J138" s="29"/>
      <c r="L138" s="29"/>
    </row>
    <row r="139" ht="15.75" customHeight="1">
      <c r="C139" s="29"/>
      <c r="D139" s="30"/>
      <c r="F139" s="30"/>
      <c r="I139" s="29"/>
      <c r="J139" s="29"/>
      <c r="L139" s="29"/>
    </row>
    <row r="140" ht="15.75" customHeight="1">
      <c r="C140" s="29"/>
      <c r="D140" s="30"/>
      <c r="F140" s="30"/>
      <c r="I140" s="29"/>
      <c r="J140" s="29"/>
      <c r="L140" s="29"/>
    </row>
    <row r="141" ht="15.75" customHeight="1">
      <c r="C141" s="29"/>
      <c r="D141" s="30"/>
      <c r="F141" s="30"/>
      <c r="I141" s="29"/>
      <c r="J141" s="29"/>
      <c r="L141" s="29"/>
    </row>
    <row r="142" ht="15.75" customHeight="1">
      <c r="C142" s="29"/>
      <c r="D142" s="30"/>
      <c r="F142" s="30"/>
      <c r="I142" s="29"/>
      <c r="J142" s="29"/>
      <c r="L142" s="29"/>
    </row>
    <row r="143" ht="15.75" customHeight="1">
      <c r="C143" s="29"/>
      <c r="D143" s="30"/>
      <c r="F143" s="30"/>
      <c r="I143" s="29"/>
      <c r="J143" s="29"/>
      <c r="L143" s="29"/>
    </row>
    <row r="144" ht="15.75" customHeight="1">
      <c r="C144" s="29"/>
      <c r="D144" s="30"/>
      <c r="F144" s="30"/>
      <c r="I144" s="29"/>
      <c r="J144" s="29"/>
      <c r="L144" s="29"/>
    </row>
    <row r="145" ht="15.75" customHeight="1">
      <c r="C145" s="29"/>
      <c r="D145" s="30"/>
      <c r="F145" s="30"/>
      <c r="I145" s="29"/>
      <c r="J145" s="29"/>
      <c r="L145" s="29"/>
    </row>
    <row r="146" ht="15.75" customHeight="1">
      <c r="C146" s="29"/>
      <c r="D146" s="30"/>
      <c r="F146" s="30"/>
      <c r="I146" s="29"/>
      <c r="J146" s="29"/>
      <c r="L146" s="29"/>
    </row>
    <row r="147" ht="15.75" customHeight="1">
      <c r="C147" s="29"/>
      <c r="D147" s="30"/>
      <c r="F147" s="30"/>
      <c r="I147" s="29"/>
      <c r="J147" s="29"/>
      <c r="L147" s="29"/>
    </row>
    <row r="148" ht="15.75" customHeight="1">
      <c r="C148" s="29"/>
      <c r="D148" s="30"/>
      <c r="F148" s="30"/>
      <c r="I148" s="29"/>
      <c r="J148" s="29"/>
      <c r="L148" s="29"/>
    </row>
    <row r="149" ht="15.75" customHeight="1">
      <c r="C149" s="29"/>
      <c r="D149" s="30"/>
      <c r="F149" s="30"/>
      <c r="I149" s="29"/>
      <c r="J149" s="29"/>
      <c r="L149" s="29"/>
    </row>
    <row r="150" ht="15.75" customHeight="1">
      <c r="C150" s="29"/>
      <c r="D150" s="30"/>
      <c r="F150" s="30"/>
      <c r="I150" s="29"/>
      <c r="J150" s="29"/>
      <c r="L150" s="29"/>
    </row>
    <row r="151" ht="15.75" customHeight="1">
      <c r="C151" s="29"/>
      <c r="D151" s="30"/>
      <c r="F151" s="30"/>
      <c r="I151" s="29"/>
      <c r="J151" s="29"/>
      <c r="L151" s="29"/>
    </row>
    <row r="152" ht="15.75" customHeight="1">
      <c r="C152" s="29"/>
      <c r="D152" s="30"/>
      <c r="F152" s="30"/>
      <c r="I152" s="29"/>
      <c r="J152" s="29"/>
      <c r="L152" s="29"/>
    </row>
    <row r="153" ht="15.75" customHeight="1">
      <c r="C153" s="29"/>
      <c r="D153" s="30"/>
      <c r="F153" s="30"/>
      <c r="I153" s="29"/>
      <c r="J153" s="29"/>
      <c r="L153" s="29"/>
    </row>
    <row r="154" ht="15.75" customHeight="1">
      <c r="C154" s="29"/>
      <c r="D154" s="30"/>
      <c r="F154" s="30"/>
      <c r="I154" s="29"/>
      <c r="J154" s="29"/>
      <c r="L154" s="29"/>
    </row>
    <row r="155" ht="15.75" customHeight="1">
      <c r="C155" s="29"/>
      <c r="D155" s="30"/>
      <c r="F155" s="30"/>
      <c r="I155" s="29"/>
      <c r="J155" s="29"/>
      <c r="L155" s="29"/>
    </row>
    <row r="156" ht="15.75" customHeight="1">
      <c r="C156" s="29"/>
      <c r="D156" s="30"/>
      <c r="F156" s="30"/>
      <c r="I156" s="29"/>
      <c r="J156" s="29"/>
      <c r="L156" s="29"/>
    </row>
    <row r="157" ht="15.75" customHeight="1">
      <c r="C157" s="29"/>
      <c r="D157" s="30"/>
      <c r="F157" s="30"/>
      <c r="I157" s="29"/>
      <c r="J157" s="29"/>
      <c r="L157" s="29"/>
    </row>
    <row r="158" ht="15.75" customHeight="1">
      <c r="C158" s="29"/>
      <c r="D158" s="30"/>
      <c r="F158" s="30"/>
      <c r="I158" s="29"/>
      <c r="J158" s="29"/>
      <c r="L158" s="29"/>
    </row>
    <row r="159" ht="15.75" customHeight="1">
      <c r="C159" s="29"/>
      <c r="D159" s="30"/>
      <c r="F159" s="30"/>
      <c r="I159" s="29"/>
      <c r="J159" s="29"/>
      <c r="L159" s="29"/>
    </row>
    <row r="160" ht="15.75" customHeight="1">
      <c r="C160" s="29"/>
      <c r="D160" s="30"/>
      <c r="F160" s="30"/>
      <c r="I160" s="29"/>
      <c r="J160" s="29"/>
      <c r="L160" s="29"/>
    </row>
    <row r="161" ht="15.75" customHeight="1">
      <c r="C161" s="29"/>
      <c r="D161" s="30"/>
      <c r="F161" s="30"/>
      <c r="I161" s="29"/>
      <c r="J161" s="29"/>
      <c r="L161" s="29"/>
    </row>
    <row r="162" ht="15.75" customHeight="1">
      <c r="C162" s="29"/>
      <c r="D162" s="30"/>
      <c r="F162" s="30"/>
      <c r="I162" s="29"/>
      <c r="J162" s="29"/>
      <c r="L162" s="29"/>
    </row>
    <row r="163" ht="15.75" customHeight="1">
      <c r="C163" s="29"/>
      <c r="D163" s="30"/>
      <c r="F163" s="30"/>
      <c r="I163" s="29"/>
      <c r="J163" s="29"/>
      <c r="L163" s="29"/>
    </row>
    <row r="164" ht="15.75" customHeight="1">
      <c r="C164" s="29"/>
      <c r="D164" s="30"/>
      <c r="F164" s="30"/>
      <c r="I164" s="29"/>
      <c r="J164" s="29"/>
      <c r="L164" s="29"/>
    </row>
    <row r="165" ht="15.75" customHeight="1">
      <c r="C165" s="29"/>
      <c r="D165" s="30"/>
      <c r="F165" s="30"/>
      <c r="I165" s="29"/>
      <c r="J165" s="29"/>
      <c r="L165" s="29"/>
    </row>
    <row r="166" ht="15.75" customHeight="1">
      <c r="C166" s="29"/>
      <c r="D166" s="30"/>
      <c r="F166" s="30"/>
      <c r="I166" s="29"/>
      <c r="J166" s="29"/>
      <c r="L166" s="29"/>
    </row>
    <row r="167" ht="15.75" customHeight="1">
      <c r="C167" s="29"/>
      <c r="D167" s="30"/>
      <c r="F167" s="30"/>
      <c r="I167" s="29"/>
      <c r="J167" s="29"/>
      <c r="L167" s="29"/>
    </row>
    <row r="168" ht="15.75" customHeight="1">
      <c r="C168" s="29"/>
      <c r="D168" s="30"/>
      <c r="F168" s="30"/>
      <c r="I168" s="29"/>
      <c r="J168" s="29"/>
      <c r="L168" s="29"/>
    </row>
    <row r="169" ht="15.75" customHeight="1">
      <c r="C169" s="29"/>
      <c r="D169" s="30"/>
      <c r="F169" s="30"/>
      <c r="I169" s="29"/>
      <c r="J169" s="29"/>
      <c r="L169" s="29"/>
    </row>
    <row r="170" ht="15.75" customHeight="1">
      <c r="C170" s="29"/>
      <c r="D170" s="30"/>
      <c r="F170" s="30"/>
      <c r="I170" s="29"/>
      <c r="J170" s="29"/>
      <c r="L170" s="29"/>
    </row>
    <row r="171" ht="15.75" customHeight="1">
      <c r="C171" s="29"/>
      <c r="D171" s="30"/>
      <c r="F171" s="30"/>
      <c r="I171" s="29"/>
      <c r="J171" s="29"/>
      <c r="L171" s="29"/>
    </row>
    <row r="172" ht="15.75" customHeight="1">
      <c r="C172" s="29"/>
      <c r="D172" s="30"/>
      <c r="F172" s="30"/>
      <c r="I172" s="29"/>
      <c r="J172" s="29"/>
      <c r="L172" s="29"/>
    </row>
    <row r="173" ht="15.75" customHeight="1">
      <c r="C173" s="29"/>
      <c r="D173" s="30"/>
      <c r="F173" s="30"/>
      <c r="I173" s="29"/>
      <c r="J173" s="29"/>
      <c r="L173" s="29"/>
    </row>
    <row r="174" ht="15.75" customHeight="1">
      <c r="C174" s="29"/>
      <c r="D174" s="30"/>
      <c r="F174" s="30"/>
      <c r="I174" s="29"/>
      <c r="J174" s="29"/>
      <c r="L174" s="29"/>
    </row>
    <row r="175" ht="15.75" customHeight="1">
      <c r="C175" s="29"/>
      <c r="D175" s="30"/>
      <c r="F175" s="30"/>
      <c r="I175" s="29"/>
      <c r="J175" s="29"/>
      <c r="L175" s="29"/>
    </row>
    <row r="176" ht="15.75" customHeight="1">
      <c r="C176" s="29"/>
      <c r="D176" s="30"/>
      <c r="F176" s="30"/>
      <c r="I176" s="29"/>
      <c r="J176" s="29"/>
      <c r="L176" s="29"/>
    </row>
    <row r="177" ht="15.75" customHeight="1">
      <c r="C177" s="29"/>
      <c r="D177" s="30"/>
      <c r="F177" s="30"/>
      <c r="I177" s="29"/>
      <c r="J177" s="29"/>
      <c r="L177" s="29"/>
    </row>
    <row r="178" ht="15.75" customHeight="1">
      <c r="C178" s="29"/>
      <c r="D178" s="30"/>
      <c r="F178" s="30"/>
      <c r="I178" s="29"/>
      <c r="J178" s="29"/>
      <c r="L178" s="29"/>
    </row>
    <row r="179" ht="15.75" customHeight="1">
      <c r="C179" s="29"/>
      <c r="D179" s="30"/>
      <c r="F179" s="30"/>
      <c r="I179" s="29"/>
      <c r="J179" s="29"/>
      <c r="L179" s="29"/>
    </row>
    <row r="180" ht="15.75" customHeight="1">
      <c r="C180" s="29"/>
      <c r="D180" s="30"/>
      <c r="F180" s="30"/>
      <c r="I180" s="29"/>
      <c r="J180" s="29"/>
      <c r="L180" s="29"/>
    </row>
    <row r="181" ht="15.75" customHeight="1">
      <c r="C181" s="29"/>
      <c r="D181" s="30"/>
      <c r="F181" s="30"/>
      <c r="I181" s="29"/>
      <c r="J181" s="29"/>
      <c r="L181" s="29"/>
    </row>
    <row r="182" ht="15.75" customHeight="1">
      <c r="C182" s="29"/>
      <c r="D182" s="30"/>
      <c r="F182" s="30"/>
      <c r="I182" s="29"/>
      <c r="J182" s="29"/>
      <c r="L182" s="29"/>
    </row>
    <row r="183" ht="15.75" customHeight="1">
      <c r="C183" s="29"/>
      <c r="D183" s="30"/>
      <c r="F183" s="30"/>
      <c r="I183" s="29"/>
      <c r="J183" s="29"/>
      <c r="L183" s="29"/>
    </row>
    <row r="184" ht="15.75" customHeight="1">
      <c r="C184" s="29"/>
      <c r="D184" s="30"/>
      <c r="F184" s="30"/>
      <c r="I184" s="29"/>
      <c r="J184" s="29"/>
      <c r="L184" s="29"/>
    </row>
    <row r="185" ht="15.75" customHeight="1">
      <c r="C185" s="29"/>
      <c r="D185" s="30"/>
      <c r="F185" s="30"/>
      <c r="I185" s="29"/>
      <c r="J185" s="29"/>
      <c r="L185" s="29"/>
    </row>
    <row r="186" ht="15.75" customHeight="1">
      <c r="C186" s="29"/>
      <c r="D186" s="30"/>
      <c r="F186" s="30"/>
      <c r="I186" s="29"/>
      <c r="J186" s="29"/>
      <c r="L186" s="29"/>
    </row>
    <row r="187" ht="15.75" customHeight="1">
      <c r="C187" s="29"/>
      <c r="D187" s="30"/>
      <c r="F187" s="30"/>
      <c r="I187" s="29"/>
      <c r="J187" s="29"/>
      <c r="L187" s="29"/>
    </row>
    <row r="188" ht="15.75" customHeight="1">
      <c r="C188" s="29"/>
      <c r="D188" s="30"/>
      <c r="F188" s="30"/>
      <c r="I188" s="29"/>
      <c r="J188" s="29"/>
      <c r="L188" s="29"/>
    </row>
    <row r="189" ht="15.75" customHeight="1">
      <c r="C189" s="29"/>
      <c r="D189" s="30"/>
      <c r="F189" s="30"/>
      <c r="I189" s="29"/>
      <c r="J189" s="29"/>
      <c r="L189" s="29"/>
    </row>
    <row r="190" ht="15.75" customHeight="1">
      <c r="C190" s="29"/>
      <c r="D190" s="30"/>
      <c r="F190" s="30"/>
      <c r="I190" s="29"/>
      <c r="J190" s="29"/>
      <c r="L190" s="29"/>
    </row>
    <row r="191" ht="15.75" customHeight="1">
      <c r="C191" s="29"/>
      <c r="D191" s="30"/>
      <c r="F191" s="30"/>
      <c r="I191" s="29"/>
      <c r="J191" s="29"/>
      <c r="L191" s="29"/>
    </row>
    <row r="192" ht="15.75" customHeight="1">
      <c r="C192" s="29"/>
      <c r="D192" s="30"/>
      <c r="F192" s="30"/>
      <c r="I192" s="29"/>
      <c r="J192" s="29"/>
      <c r="L192" s="29"/>
    </row>
    <row r="193" ht="15.75" customHeight="1">
      <c r="C193" s="29"/>
      <c r="D193" s="30"/>
      <c r="F193" s="30"/>
      <c r="I193" s="29"/>
      <c r="J193" s="29"/>
      <c r="L193" s="29"/>
    </row>
    <row r="194" ht="15.75" customHeight="1">
      <c r="C194" s="29"/>
      <c r="D194" s="30"/>
      <c r="F194" s="30"/>
      <c r="I194" s="29"/>
      <c r="J194" s="29"/>
      <c r="L194" s="29"/>
    </row>
    <row r="195" ht="15.75" customHeight="1">
      <c r="C195" s="29"/>
      <c r="D195" s="30"/>
      <c r="F195" s="30"/>
      <c r="I195" s="29"/>
      <c r="J195" s="29"/>
      <c r="L195" s="29"/>
    </row>
    <row r="196" ht="15.75" customHeight="1">
      <c r="C196" s="29"/>
      <c r="D196" s="30"/>
      <c r="F196" s="30"/>
      <c r="I196" s="29"/>
      <c r="J196" s="29"/>
      <c r="L196" s="29"/>
    </row>
    <row r="197" ht="15.75" customHeight="1">
      <c r="C197" s="29"/>
      <c r="D197" s="30"/>
      <c r="F197" s="30"/>
      <c r="I197" s="29"/>
      <c r="J197" s="29"/>
      <c r="L197" s="29"/>
    </row>
    <row r="198" ht="15.75" customHeight="1">
      <c r="C198" s="29"/>
      <c r="D198" s="30"/>
      <c r="F198" s="30"/>
      <c r="I198" s="29"/>
      <c r="J198" s="29"/>
      <c r="L198" s="29"/>
    </row>
    <row r="199" ht="15.75" customHeight="1">
      <c r="C199" s="29"/>
      <c r="D199" s="30"/>
      <c r="F199" s="30"/>
      <c r="I199" s="29"/>
      <c r="J199" s="29"/>
      <c r="L199" s="29"/>
    </row>
    <row r="200" ht="15.75" customHeight="1">
      <c r="C200" s="29"/>
      <c r="D200" s="30"/>
      <c r="F200" s="30"/>
      <c r="I200" s="29"/>
      <c r="J200" s="29"/>
      <c r="L200" s="29"/>
    </row>
    <row r="201" ht="15.75" customHeight="1">
      <c r="C201" s="29"/>
      <c r="D201" s="30"/>
      <c r="F201" s="30"/>
      <c r="I201" s="29"/>
      <c r="J201" s="29"/>
      <c r="L201" s="29"/>
    </row>
    <row r="202" ht="15.75" customHeight="1">
      <c r="C202" s="29"/>
      <c r="D202" s="30"/>
      <c r="F202" s="30"/>
      <c r="I202" s="29"/>
      <c r="J202" s="29"/>
      <c r="L202" s="29"/>
    </row>
    <row r="203" ht="15.75" customHeight="1">
      <c r="C203" s="29"/>
      <c r="D203" s="30"/>
      <c r="F203" s="30"/>
      <c r="I203" s="29"/>
      <c r="J203" s="29"/>
      <c r="L203" s="29"/>
    </row>
    <row r="204" ht="15.75" customHeight="1">
      <c r="C204" s="29"/>
      <c r="D204" s="30"/>
      <c r="F204" s="30"/>
      <c r="I204" s="29"/>
      <c r="J204" s="29"/>
      <c r="L204" s="29"/>
    </row>
    <row r="205" ht="15.75" customHeight="1">
      <c r="C205" s="29"/>
      <c r="D205" s="30"/>
      <c r="F205" s="30"/>
      <c r="I205" s="29"/>
      <c r="J205" s="29"/>
      <c r="L205" s="29"/>
    </row>
    <row r="206" ht="15.75" customHeight="1">
      <c r="C206" s="29"/>
      <c r="D206" s="30"/>
      <c r="F206" s="30"/>
      <c r="I206" s="29"/>
      <c r="J206" s="29"/>
      <c r="L206" s="29"/>
    </row>
    <row r="207" ht="15.75" customHeight="1">
      <c r="C207" s="29"/>
      <c r="D207" s="30"/>
      <c r="F207" s="30"/>
      <c r="I207" s="29"/>
      <c r="J207" s="29"/>
      <c r="L207" s="29"/>
    </row>
    <row r="208" ht="15.75" customHeight="1">
      <c r="C208" s="29"/>
      <c r="D208" s="30"/>
      <c r="F208" s="30"/>
      <c r="I208" s="29"/>
      <c r="J208" s="29"/>
      <c r="L208" s="29"/>
    </row>
    <row r="209" ht="15.75" customHeight="1">
      <c r="C209" s="29"/>
      <c r="D209" s="30"/>
      <c r="F209" s="30"/>
      <c r="I209" s="29"/>
      <c r="J209" s="29"/>
      <c r="L209" s="29"/>
    </row>
    <row r="210" ht="15.75" customHeight="1">
      <c r="C210" s="29"/>
      <c r="D210" s="30"/>
      <c r="F210" s="30"/>
      <c r="I210" s="29"/>
      <c r="J210" s="29"/>
      <c r="L210" s="29"/>
    </row>
    <row r="211" ht="15.75" customHeight="1">
      <c r="C211" s="29"/>
      <c r="D211" s="30"/>
      <c r="F211" s="30"/>
      <c r="I211" s="29"/>
      <c r="J211" s="29"/>
      <c r="L211" s="29"/>
    </row>
    <row r="212" ht="15.75" customHeight="1">
      <c r="C212" s="29"/>
      <c r="D212" s="30"/>
      <c r="F212" s="30"/>
      <c r="I212" s="29"/>
      <c r="J212" s="29"/>
      <c r="L212" s="29"/>
    </row>
    <row r="213" ht="15.75" customHeight="1">
      <c r="C213" s="29"/>
      <c r="D213" s="30"/>
      <c r="F213" s="30"/>
      <c r="I213" s="29"/>
      <c r="J213" s="29"/>
      <c r="L213" s="29"/>
    </row>
    <row r="214" ht="15.75" customHeight="1">
      <c r="C214" s="29"/>
      <c r="D214" s="30"/>
      <c r="F214" s="30"/>
      <c r="I214" s="29"/>
      <c r="J214" s="29"/>
      <c r="L214" s="29"/>
    </row>
    <row r="215" ht="15.75" customHeight="1">
      <c r="C215" s="29"/>
      <c r="D215" s="30"/>
      <c r="F215" s="30"/>
      <c r="I215" s="29"/>
      <c r="J215" s="29"/>
      <c r="L215" s="29"/>
    </row>
    <row r="216" ht="15.75" customHeight="1">
      <c r="C216" s="29"/>
      <c r="D216" s="30"/>
      <c r="F216" s="30"/>
      <c r="I216" s="29"/>
      <c r="J216" s="29"/>
      <c r="L216" s="29"/>
    </row>
    <row r="217" ht="15.75" customHeight="1">
      <c r="C217" s="29"/>
      <c r="D217" s="30"/>
      <c r="F217" s="30"/>
      <c r="I217" s="29"/>
      <c r="J217" s="29"/>
      <c r="L217" s="29"/>
    </row>
    <row r="218" ht="15.75" customHeight="1">
      <c r="C218" s="29"/>
      <c r="D218" s="30"/>
      <c r="F218" s="30"/>
      <c r="I218" s="29"/>
      <c r="J218" s="29"/>
      <c r="L218" s="29"/>
    </row>
    <row r="219" ht="15.75" customHeight="1">
      <c r="C219" s="29"/>
      <c r="D219" s="30"/>
      <c r="F219" s="30"/>
      <c r="I219" s="29"/>
      <c r="J219" s="29"/>
      <c r="L219" s="29"/>
    </row>
    <row r="220" ht="15.75" customHeight="1">
      <c r="C220" s="29"/>
      <c r="D220" s="30"/>
      <c r="F220" s="30"/>
      <c r="I220" s="29"/>
      <c r="J220" s="29"/>
      <c r="L220" s="29"/>
    </row>
    <row r="221" ht="15.75" customHeight="1">
      <c r="C221" s="29"/>
      <c r="D221" s="30"/>
      <c r="F221" s="30"/>
      <c r="I221" s="29"/>
      <c r="J221" s="29"/>
      <c r="L221" s="29"/>
    </row>
    <row r="222" ht="15.75" customHeight="1">
      <c r="C222" s="29"/>
      <c r="D222" s="30"/>
      <c r="F222" s="30"/>
      <c r="I222" s="29"/>
      <c r="J222" s="29"/>
      <c r="L222" s="29"/>
    </row>
    <row r="223" ht="15.75" customHeight="1">
      <c r="C223" s="29"/>
      <c r="D223" s="30"/>
      <c r="F223" s="30"/>
      <c r="I223" s="29"/>
      <c r="J223" s="29"/>
      <c r="L223" s="29"/>
    </row>
    <row r="224" ht="15.75" customHeight="1">
      <c r="C224" s="29"/>
      <c r="D224" s="30"/>
      <c r="F224" s="30"/>
      <c r="I224" s="29"/>
      <c r="J224" s="29"/>
      <c r="L224" s="29"/>
    </row>
    <row r="225" ht="15.75" customHeight="1">
      <c r="C225" s="29"/>
      <c r="D225" s="30"/>
      <c r="F225" s="30"/>
      <c r="I225" s="29"/>
      <c r="J225" s="29"/>
      <c r="L225" s="29"/>
    </row>
    <row r="226" ht="15.75" customHeight="1">
      <c r="C226" s="29"/>
      <c r="D226" s="30"/>
      <c r="F226" s="30"/>
      <c r="I226" s="29"/>
      <c r="J226" s="29"/>
      <c r="L226" s="29"/>
    </row>
    <row r="227" ht="15.75" customHeight="1">
      <c r="C227" s="29"/>
      <c r="D227" s="30"/>
      <c r="F227" s="30"/>
      <c r="I227" s="29"/>
      <c r="J227" s="29"/>
      <c r="L227" s="29"/>
    </row>
    <row r="228" ht="15.75" customHeight="1">
      <c r="C228" s="29"/>
      <c r="D228" s="30"/>
      <c r="F228" s="30"/>
      <c r="I228" s="29"/>
      <c r="J228" s="29"/>
      <c r="L228" s="29"/>
    </row>
    <row r="229" ht="15.75" customHeight="1">
      <c r="C229" s="29"/>
      <c r="D229" s="30"/>
      <c r="F229" s="30"/>
      <c r="I229" s="29"/>
      <c r="J229" s="29"/>
      <c r="L229" s="29"/>
    </row>
    <row r="230" ht="15.75" customHeight="1">
      <c r="C230" s="29"/>
      <c r="D230" s="30"/>
      <c r="F230" s="30"/>
      <c r="I230" s="29"/>
      <c r="J230" s="29"/>
      <c r="L230" s="29"/>
    </row>
    <row r="231" ht="15.75" customHeight="1">
      <c r="C231" s="29"/>
      <c r="D231" s="30"/>
      <c r="F231" s="30"/>
      <c r="I231" s="29"/>
      <c r="J231" s="29"/>
      <c r="L231" s="29"/>
    </row>
    <row r="232" ht="15.75" customHeight="1">
      <c r="C232" s="29"/>
      <c r="D232" s="30"/>
      <c r="F232" s="30"/>
      <c r="I232" s="29"/>
      <c r="J232" s="29"/>
      <c r="L232" s="29"/>
    </row>
    <row r="233" ht="15.75" customHeight="1">
      <c r="C233" s="29"/>
      <c r="D233" s="30"/>
      <c r="F233" s="30"/>
      <c r="I233" s="29"/>
      <c r="J233" s="29"/>
      <c r="L233" s="29"/>
    </row>
    <row r="234" ht="15.75" customHeight="1">
      <c r="C234" s="29"/>
      <c r="D234" s="30"/>
      <c r="F234" s="30"/>
      <c r="I234" s="29"/>
      <c r="J234" s="29"/>
      <c r="L234" s="29"/>
    </row>
    <row r="235" ht="15.75" customHeight="1">
      <c r="C235" s="29"/>
      <c r="D235" s="30"/>
      <c r="F235" s="30"/>
      <c r="I235" s="29"/>
      <c r="J235" s="29"/>
      <c r="L235" s="29"/>
    </row>
    <row r="236" ht="15.75" customHeight="1">
      <c r="C236" s="29"/>
      <c r="D236" s="30"/>
      <c r="F236" s="30"/>
      <c r="I236" s="29"/>
      <c r="J236" s="29"/>
      <c r="L236" s="29"/>
    </row>
    <row r="237" ht="15.75" customHeight="1">
      <c r="C237" s="29"/>
      <c r="D237" s="30"/>
      <c r="F237" s="30"/>
      <c r="I237" s="29"/>
      <c r="J237" s="29"/>
      <c r="L237" s="29"/>
    </row>
    <row r="238" ht="15.75" customHeight="1">
      <c r="C238" s="29"/>
      <c r="D238" s="30"/>
      <c r="F238" s="30"/>
      <c r="I238" s="29"/>
      <c r="J238" s="29"/>
      <c r="L238" s="29"/>
    </row>
    <row r="239" ht="15.75" customHeight="1">
      <c r="C239" s="29"/>
      <c r="D239" s="30"/>
      <c r="F239" s="30"/>
      <c r="I239" s="29"/>
      <c r="J239" s="29"/>
      <c r="L239" s="29"/>
    </row>
    <row r="240" ht="15.75" customHeight="1">
      <c r="C240" s="29"/>
      <c r="D240" s="30"/>
      <c r="F240" s="30"/>
      <c r="I240" s="29"/>
      <c r="J240" s="29"/>
      <c r="L240" s="29"/>
    </row>
    <row r="241" ht="15.75" customHeight="1">
      <c r="C241" s="29"/>
      <c r="D241" s="30"/>
      <c r="F241" s="30"/>
      <c r="I241" s="29"/>
      <c r="J241" s="29"/>
      <c r="L241" s="29"/>
    </row>
    <row r="242" ht="15.75" customHeight="1">
      <c r="C242" s="29"/>
      <c r="D242" s="30"/>
      <c r="F242" s="30"/>
      <c r="I242" s="29"/>
      <c r="J242" s="29"/>
      <c r="L242" s="29"/>
    </row>
    <row r="243" ht="15.75" customHeight="1">
      <c r="C243" s="29"/>
      <c r="D243" s="30"/>
      <c r="F243" s="30"/>
      <c r="I243" s="29"/>
      <c r="J243" s="29"/>
      <c r="L243" s="29"/>
    </row>
    <row r="244" ht="15.75" customHeight="1">
      <c r="C244" s="29"/>
      <c r="D244" s="30"/>
      <c r="F244" s="30"/>
      <c r="I244" s="29"/>
      <c r="J244" s="29"/>
      <c r="L244" s="29"/>
    </row>
    <row r="245" ht="15.75" customHeight="1">
      <c r="C245" s="29"/>
      <c r="D245" s="30"/>
      <c r="F245" s="30"/>
      <c r="I245" s="29"/>
      <c r="J245" s="29"/>
      <c r="L245" s="29"/>
    </row>
    <row r="246" ht="15.75" customHeight="1">
      <c r="C246" s="29"/>
      <c r="D246" s="30"/>
      <c r="F246" s="30"/>
      <c r="I246" s="29"/>
      <c r="J246" s="29"/>
      <c r="L246" s="29"/>
    </row>
    <row r="247" ht="15.75" customHeight="1">
      <c r="C247" s="29"/>
      <c r="D247" s="30"/>
      <c r="F247" s="30"/>
      <c r="I247" s="29"/>
      <c r="J247" s="29"/>
      <c r="L247" s="29"/>
    </row>
    <row r="248" ht="15.75" customHeight="1">
      <c r="C248" s="29"/>
      <c r="D248" s="30"/>
      <c r="F248" s="30"/>
      <c r="I248" s="29"/>
      <c r="J248" s="29"/>
      <c r="L248" s="29"/>
    </row>
    <row r="249" ht="15.75" customHeight="1">
      <c r="C249" s="29"/>
      <c r="D249" s="30"/>
      <c r="F249" s="30"/>
      <c r="I249" s="29"/>
      <c r="J249" s="29"/>
      <c r="L249" s="29"/>
    </row>
    <row r="250" ht="15.75" customHeight="1">
      <c r="C250" s="29"/>
      <c r="D250" s="30"/>
      <c r="F250" s="30"/>
      <c r="I250" s="29"/>
      <c r="J250" s="29"/>
      <c r="L250" s="29"/>
    </row>
    <row r="251" ht="15.75" customHeight="1">
      <c r="C251" s="29"/>
      <c r="D251" s="30"/>
      <c r="F251" s="30"/>
      <c r="I251" s="29"/>
      <c r="J251" s="29"/>
      <c r="L251" s="29"/>
    </row>
    <row r="252" ht="15.75" customHeight="1">
      <c r="C252" s="29"/>
      <c r="D252" s="30"/>
      <c r="F252" s="30"/>
      <c r="I252" s="29"/>
      <c r="J252" s="29"/>
      <c r="L252" s="29"/>
    </row>
    <row r="253" ht="15.75" customHeight="1">
      <c r="C253" s="29"/>
      <c r="D253" s="30"/>
      <c r="F253" s="30"/>
      <c r="I253" s="29"/>
      <c r="J253" s="29"/>
      <c r="L253" s="29"/>
    </row>
    <row r="254" ht="15.75" customHeight="1">
      <c r="C254" s="29"/>
      <c r="D254" s="30"/>
      <c r="F254" s="30"/>
      <c r="I254" s="29"/>
      <c r="J254" s="29"/>
      <c r="L254" s="29"/>
    </row>
    <row r="255" ht="15.75" customHeight="1">
      <c r="C255" s="29"/>
      <c r="D255" s="30"/>
      <c r="F255" s="30"/>
      <c r="I255" s="29"/>
      <c r="J255" s="29"/>
      <c r="L255" s="29"/>
    </row>
    <row r="256" ht="15.75" customHeight="1">
      <c r="C256" s="29"/>
      <c r="D256" s="30"/>
      <c r="F256" s="30"/>
      <c r="I256" s="29"/>
      <c r="J256" s="29"/>
      <c r="L256" s="29"/>
    </row>
    <row r="257" ht="15.75" customHeight="1">
      <c r="C257" s="29"/>
      <c r="D257" s="30"/>
      <c r="F257" s="30"/>
      <c r="I257" s="29"/>
      <c r="J257" s="29"/>
      <c r="L257" s="29"/>
    </row>
    <row r="258" ht="15.75" customHeight="1">
      <c r="C258" s="29"/>
      <c r="D258" s="30"/>
      <c r="F258" s="30"/>
      <c r="I258" s="29"/>
      <c r="J258" s="29"/>
      <c r="L258" s="29"/>
    </row>
    <row r="259" ht="15.75" customHeight="1">
      <c r="C259" s="29"/>
      <c r="D259" s="30"/>
      <c r="F259" s="30"/>
      <c r="I259" s="29"/>
      <c r="J259" s="29"/>
      <c r="L259" s="29"/>
    </row>
    <row r="260" ht="15.75" customHeight="1">
      <c r="C260" s="29"/>
      <c r="D260" s="30"/>
      <c r="F260" s="30"/>
      <c r="I260" s="29"/>
      <c r="J260" s="29"/>
      <c r="L260" s="29"/>
    </row>
    <row r="261" ht="15.75" customHeight="1">
      <c r="C261" s="29"/>
      <c r="D261" s="30"/>
      <c r="F261" s="30"/>
      <c r="I261" s="29"/>
      <c r="J261" s="29"/>
      <c r="L261" s="29"/>
    </row>
    <row r="262" ht="15.75" customHeight="1">
      <c r="C262" s="29"/>
      <c r="D262" s="30"/>
      <c r="F262" s="30"/>
      <c r="I262" s="29"/>
      <c r="J262" s="29"/>
      <c r="L262" s="29"/>
    </row>
    <row r="263" ht="15.75" customHeight="1">
      <c r="C263" s="29"/>
      <c r="D263" s="30"/>
      <c r="F263" s="30"/>
      <c r="I263" s="29"/>
      <c r="J263" s="29"/>
      <c r="L263" s="29"/>
    </row>
    <row r="264" ht="15.75" customHeight="1">
      <c r="C264" s="29"/>
      <c r="D264" s="30"/>
      <c r="F264" s="30"/>
      <c r="I264" s="29"/>
      <c r="J264" s="29"/>
      <c r="L264" s="29"/>
    </row>
    <row r="265" ht="15.75" customHeight="1">
      <c r="C265" s="29"/>
      <c r="D265" s="30"/>
      <c r="F265" s="30"/>
      <c r="I265" s="29"/>
      <c r="J265" s="29"/>
      <c r="L265" s="29"/>
    </row>
    <row r="266" ht="15.75" customHeight="1">
      <c r="C266" s="29"/>
      <c r="D266" s="30"/>
      <c r="F266" s="30"/>
      <c r="I266" s="29"/>
      <c r="J266" s="29"/>
      <c r="L266" s="29"/>
    </row>
    <row r="267" ht="15.75" customHeight="1">
      <c r="C267" s="29"/>
      <c r="D267" s="30"/>
      <c r="F267" s="30"/>
      <c r="I267" s="29"/>
      <c r="J267" s="29"/>
      <c r="L267" s="29"/>
    </row>
    <row r="268" ht="15.75" customHeight="1">
      <c r="C268" s="29"/>
      <c r="D268" s="30"/>
      <c r="F268" s="30"/>
      <c r="I268" s="29"/>
      <c r="J268" s="29"/>
      <c r="L268" s="29"/>
    </row>
    <row r="269" ht="15.75" customHeight="1">
      <c r="C269" s="29"/>
      <c r="D269" s="30"/>
      <c r="F269" s="30"/>
      <c r="I269" s="29"/>
      <c r="J269" s="29"/>
      <c r="L269" s="29"/>
    </row>
    <row r="270" ht="15.75" customHeight="1">
      <c r="C270" s="29"/>
      <c r="D270" s="30"/>
      <c r="F270" s="30"/>
      <c r="I270" s="29"/>
      <c r="J270" s="29"/>
      <c r="L270" s="29"/>
    </row>
    <row r="271" ht="15.75" customHeight="1">
      <c r="C271" s="29"/>
      <c r="D271" s="30"/>
      <c r="F271" s="30"/>
      <c r="I271" s="29"/>
      <c r="J271" s="29"/>
      <c r="L271" s="29"/>
    </row>
    <row r="272" ht="15.75" customHeight="1">
      <c r="C272" s="29"/>
      <c r="D272" s="30"/>
      <c r="F272" s="30"/>
      <c r="I272" s="29"/>
      <c r="J272" s="29"/>
      <c r="L272" s="29"/>
    </row>
    <row r="273" ht="15.75" customHeight="1">
      <c r="C273" s="29"/>
      <c r="D273" s="30"/>
      <c r="F273" s="30"/>
      <c r="I273" s="29"/>
      <c r="J273" s="29"/>
      <c r="L273" s="29"/>
    </row>
    <row r="274" ht="15.75" customHeight="1">
      <c r="C274" s="29"/>
      <c r="D274" s="30"/>
      <c r="F274" s="30"/>
      <c r="I274" s="29"/>
      <c r="J274" s="29"/>
      <c r="L274" s="29"/>
    </row>
    <row r="275" ht="15.75" customHeight="1">
      <c r="C275" s="29"/>
      <c r="D275" s="30"/>
      <c r="F275" s="30"/>
      <c r="I275" s="29"/>
      <c r="J275" s="29"/>
      <c r="L275" s="29"/>
    </row>
    <row r="276" ht="15.75" customHeight="1">
      <c r="C276" s="29"/>
      <c r="D276" s="30"/>
      <c r="F276" s="30"/>
      <c r="I276" s="29"/>
      <c r="J276" s="29"/>
      <c r="L276" s="29"/>
    </row>
    <row r="277" ht="15.75" customHeight="1">
      <c r="C277" s="29"/>
      <c r="D277" s="30"/>
      <c r="F277" s="30"/>
      <c r="I277" s="29"/>
      <c r="J277" s="29"/>
      <c r="L277" s="29"/>
    </row>
    <row r="278" ht="15.75" customHeight="1">
      <c r="C278" s="29"/>
      <c r="D278" s="30"/>
      <c r="F278" s="30"/>
      <c r="I278" s="29"/>
      <c r="J278" s="29"/>
      <c r="L278" s="29"/>
    </row>
    <row r="279" ht="15.75" customHeight="1">
      <c r="C279" s="29"/>
      <c r="D279" s="30"/>
      <c r="F279" s="30"/>
      <c r="I279" s="29"/>
      <c r="J279" s="29"/>
      <c r="L279" s="29"/>
    </row>
    <row r="280" ht="15.75" customHeight="1">
      <c r="C280" s="29"/>
      <c r="D280" s="30"/>
      <c r="F280" s="30"/>
      <c r="I280" s="29"/>
      <c r="J280" s="29"/>
      <c r="L280" s="29"/>
    </row>
    <row r="281" ht="15.75" customHeight="1">
      <c r="C281" s="29"/>
      <c r="D281" s="30"/>
      <c r="F281" s="30"/>
      <c r="I281" s="29"/>
      <c r="J281" s="29"/>
      <c r="L281" s="29"/>
    </row>
    <row r="282" ht="15.75" customHeight="1">
      <c r="C282" s="29"/>
      <c r="D282" s="30"/>
      <c r="F282" s="30"/>
      <c r="I282" s="29"/>
      <c r="J282" s="29"/>
      <c r="L282" s="29"/>
    </row>
    <row r="283" ht="15.75" customHeight="1">
      <c r="C283" s="29"/>
      <c r="D283" s="30"/>
      <c r="F283" s="30"/>
      <c r="I283" s="29"/>
      <c r="J283" s="29"/>
      <c r="L283" s="29"/>
    </row>
    <row r="284" ht="15.75" customHeight="1">
      <c r="C284" s="29"/>
      <c r="D284" s="30"/>
      <c r="F284" s="30"/>
      <c r="I284" s="29"/>
      <c r="J284" s="29"/>
      <c r="L284" s="29"/>
    </row>
    <row r="285" ht="15.75" customHeight="1">
      <c r="C285" s="29"/>
      <c r="D285" s="30"/>
      <c r="F285" s="30"/>
      <c r="I285" s="29"/>
      <c r="J285" s="29"/>
      <c r="L285" s="29"/>
    </row>
    <row r="286" ht="15.75" customHeight="1">
      <c r="C286" s="29"/>
      <c r="D286" s="30"/>
      <c r="F286" s="30"/>
      <c r="I286" s="29"/>
      <c r="J286" s="29"/>
      <c r="L286" s="29"/>
    </row>
    <row r="287" ht="15.75" customHeight="1">
      <c r="C287" s="29"/>
      <c r="D287" s="30"/>
      <c r="F287" s="30"/>
      <c r="I287" s="29"/>
      <c r="J287" s="29"/>
      <c r="L287" s="29"/>
    </row>
    <row r="288" ht="15.75" customHeight="1">
      <c r="C288" s="29"/>
      <c r="D288" s="30"/>
      <c r="F288" s="30"/>
      <c r="I288" s="29"/>
      <c r="J288" s="29"/>
      <c r="L288" s="29"/>
    </row>
    <row r="289" ht="15.75" customHeight="1">
      <c r="C289" s="29"/>
      <c r="D289" s="30"/>
      <c r="F289" s="30"/>
      <c r="I289" s="29"/>
      <c r="J289" s="29"/>
      <c r="L289" s="29"/>
    </row>
    <row r="290" ht="15.75" customHeight="1">
      <c r="C290" s="29"/>
      <c r="D290" s="30"/>
      <c r="F290" s="30"/>
      <c r="I290" s="29"/>
      <c r="J290" s="29"/>
      <c r="L290" s="29"/>
    </row>
    <row r="291" ht="15.75" customHeight="1">
      <c r="C291" s="29"/>
      <c r="D291" s="30"/>
      <c r="F291" s="30"/>
      <c r="I291" s="29"/>
      <c r="J291" s="29"/>
      <c r="L291" s="29"/>
    </row>
    <row r="292" ht="15.75" customHeight="1">
      <c r="C292" s="29"/>
      <c r="D292" s="30"/>
      <c r="F292" s="30"/>
      <c r="I292" s="29"/>
      <c r="J292" s="29"/>
      <c r="L292" s="29"/>
    </row>
    <row r="293" ht="15.75" customHeight="1">
      <c r="C293" s="29"/>
      <c r="D293" s="30"/>
      <c r="F293" s="30"/>
      <c r="I293" s="29"/>
      <c r="J293" s="29"/>
      <c r="L293" s="29"/>
    </row>
    <row r="294" ht="15.75" customHeight="1">
      <c r="C294" s="29"/>
      <c r="D294" s="30"/>
      <c r="F294" s="30"/>
      <c r="I294" s="29"/>
      <c r="J294" s="29"/>
      <c r="L294" s="29"/>
    </row>
    <row r="295" ht="15.75" customHeight="1">
      <c r="C295" s="29"/>
      <c r="D295" s="30"/>
      <c r="F295" s="30"/>
      <c r="I295" s="29"/>
      <c r="J295" s="29"/>
      <c r="L295" s="29"/>
    </row>
    <row r="296" ht="15.75" customHeight="1">
      <c r="C296" s="29"/>
      <c r="D296" s="30"/>
      <c r="F296" s="30"/>
      <c r="I296" s="29"/>
      <c r="J296" s="29"/>
      <c r="L296" s="29"/>
    </row>
    <row r="297" ht="15.75" customHeight="1">
      <c r="C297" s="29"/>
      <c r="D297" s="30"/>
      <c r="F297" s="30"/>
      <c r="I297" s="29"/>
      <c r="J297" s="29"/>
      <c r="L297" s="29"/>
    </row>
    <row r="298" ht="15.75" customHeight="1">
      <c r="C298" s="29"/>
      <c r="D298" s="30"/>
      <c r="F298" s="30"/>
      <c r="I298" s="29"/>
      <c r="J298" s="29"/>
      <c r="L298" s="29"/>
    </row>
    <row r="299" ht="15.75" customHeight="1">
      <c r="C299" s="29"/>
      <c r="D299" s="30"/>
      <c r="F299" s="30"/>
      <c r="I299" s="29"/>
      <c r="J299" s="29"/>
      <c r="L299" s="29"/>
    </row>
    <row r="300" ht="15.75" customHeight="1">
      <c r="C300" s="29"/>
      <c r="D300" s="30"/>
      <c r="F300" s="30"/>
      <c r="I300" s="29"/>
      <c r="J300" s="29"/>
      <c r="L300" s="29"/>
    </row>
    <row r="301" ht="15.75" customHeight="1">
      <c r="C301" s="29"/>
      <c r="D301" s="30"/>
      <c r="F301" s="30"/>
      <c r="I301" s="29"/>
      <c r="J301" s="29"/>
      <c r="L301" s="29"/>
    </row>
    <row r="302" ht="15.75" customHeight="1">
      <c r="C302" s="29"/>
      <c r="D302" s="30"/>
      <c r="F302" s="30"/>
      <c r="I302" s="29"/>
      <c r="J302" s="29"/>
      <c r="L302" s="29"/>
    </row>
    <row r="303" ht="15.75" customHeight="1">
      <c r="C303" s="29"/>
      <c r="D303" s="30"/>
      <c r="F303" s="30"/>
      <c r="I303" s="29"/>
      <c r="J303" s="29"/>
      <c r="L303" s="29"/>
    </row>
    <row r="304" ht="15.75" customHeight="1">
      <c r="C304" s="29"/>
      <c r="D304" s="30"/>
      <c r="F304" s="30"/>
      <c r="I304" s="29"/>
      <c r="J304" s="29"/>
      <c r="L304" s="29"/>
    </row>
    <row r="305" ht="15.75" customHeight="1">
      <c r="C305" s="29"/>
      <c r="D305" s="30"/>
      <c r="F305" s="30"/>
      <c r="I305" s="29"/>
      <c r="J305" s="29"/>
      <c r="L305" s="29"/>
    </row>
    <row r="306" ht="15.75" customHeight="1">
      <c r="C306" s="29"/>
      <c r="D306" s="30"/>
      <c r="F306" s="30"/>
      <c r="I306" s="29"/>
      <c r="J306" s="29"/>
      <c r="L306" s="29"/>
    </row>
    <row r="307" ht="15.75" customHeight="1">
      <c r="C307" s="29"/>
      <c r="D307" s="30"/>
      <c r="F307" s="30"/>
      <c r="I307" s="29"/>
      <c r="J307" s="29"/>
      <c r="L307" s="29"/>
    </row>
    <row r="308" ht="15.75" customHeight="1">
      <c r="C308" s="29"/>
      <c r="D308" s="30"/>
      <c r="F308" s="30"/>
      <c r="I308" s="29"/>
      <c r="J308" s="29"/>
      <c r="L308" s="29"/>
    </row>
    <row r="309" ht="15.75" customHeight="1">
      <c r="C309" s="29"/>
      <c r="D309" s="30"/>
      <c r="F309" s="30"/>
      <c r="I309" s="29"/>
      <c r="J309" s="29"/>
      <c r="L309" s="29"/>
    </row>
    <row r="310" ht="15.75" customHeight="1">
      <c r="C310" s="29"/>
      <c r="D310" s="30"/>
      <c r="F310" s="30"/>
      <c r="I310" s="29"/>
      <c r="J310" s="29"/>
      <c r="L310" s="29"/>
    </row>
    <row r="311" ht="15.75" customHeight="1">
      <c r="C311" s="29"/>
      <c r="D311" s="30"/>
      <c r="F311" s="30"/>
      <c r="I311" s="29"/>
      <c r="J311" s="29"/>
      <c r="L311" s="29"/>
    </row>
    <row r="312" ht="15.75" customHeight="1">
      <c r="C312" s="29"/>
      <c r="D312" s="30"/>
      <c r="F312" s="30"/>
      <c r="I312" s="29"/>
      <c r="J312" s="29"/>
      <c r="L312" s="29"/>
    </row>
    <row r="313" ht="15.75" customHeight="1">
      <c r="C313" s="29"/>
      <c r="D313" s="30"/>
      <c r="F313" s="30"/>
      <c r="I313" s="29"/>
      <c r="J313" s="29"/>
      <c r="L313" s="29"/>
    </row>
    <row r="314" ht="15.75" customHeight="1">
      <c r="C314" s="29"/>
      <c r="D314" s="30"/>
      <c r="F314" s="30"/>
      <c r="I314" s="29"/>
      <c r="J314" s="29"/>
      <c r="L314" s="29"/>
    </row>
    <row r="315" ht="15.75" customHeight="1">
      <c r="C315" s="29"/>
      <c r="D315" s="30"/>
      <c r="F315" s="30"/>
      <c r="I315" s="29"/>
      <c r="J315" s="29"/>
      <c r="L315" s="29"/>
    </row>
    <row r="316" ht="15.75" customHeight="1">
      <c r="C316" s="29"/>
      <c r="D316" s="30"/>
      <c r="F316" s="30"/>
      <c r="I316" s="29"/>
      <c r="J316" s="29"/>
      <c r="L316" s="29"/>
    </row>
    <row r="317" ht="15.75" customHeight="1">
      <c r="C317" s="29"/>
      <c r="D317" s="30"/>
      <c r="F317" s="30"/>
      <c r="I317" s="29"/>
      <c r="J317" s="29"/>
      <c r="L317" s="29"/>
    </row>
    <row r="318" ht="15.75" customHeight="1">
      <c r="C318" s="29"/>
      <c r="D318" s="30"/>
      <c r="F318" s="30"/>
      <c r="I318" s="29"/>
      <c r="J318" s="29"/>
      <c r="L318" s="29"/>
    </row>
    <row r="319" ht="15.75" customHeight="1">
      <c r="C319" s="29"/>
      <c r="D319" s="30"/>
      <c r="F319" s="30"/>
      <c r="I319" s="29"/>
      <c r="J319" s="29"/>
      <c r="L319" s="29"/>
    </row>
    <row r="320" ht="15.75" customHeight="1">
      <c r="C320" s="29"/>
      <c r="D320" s="30"/>
      <c r="F320" s="30"/>
      <c r="I320" s="29"/>
      <c r="J320" s="29"/>
      <c r="L320" s="29"/>
    </row>
    <row r="321" ht="15.75" customHeight="1">
      <c r="C321" s="29"/>
      <c r="D321" s="30"/>
      <c r="F321" s="30"/>
      <c r="I321" s="29"/>
      <c r="J321" s="29"/>
      <c r="L321" s="29"/>
    </row>
    <row r="322" ht="15.75" customHeight="1">
      <c r="C322" s="29"/>
      <c r="D322" s="30"/>
      <c r="F322" s="30"/>
      <c r="I322" s="29"/>
      <c r="J322" s="29"/>
      <c r="L322" s="29"/>
    </row>
    <row r="323" ht="15.75" customHeight="1">
      <c r="C323" s="29"/>
      <c r="D323" s="30"/>
      <c r="F323" s="30"/>
      <c r="I323" s="29"/>
      <c r="J323" s="29"/>
      <c r="L323" s="29"/>
    </row>
    <row r="324" ht="15.75" customHeight="1">
      <c r="C324" s="29"/>
      <c r="D324" s="30"/>
      <c r="F324" s="30"/>
      <c r="I324" s="29"/>
      <c r="J324" s="29"/>
      <c r="L324" s="29"/>
    </row>
    <row r="325" ht="15.75" customHeight="1">
      <c r="C325" s="29"/>
      <c r="D325" s="30"/>
      <c r="F325" s="30"/>
      <c r="I325" s="29"/>
      <c r="J325" s="29"/>
      <c r="L325" s="29"/>
    </row>
    <row r="326" ht="15.75" customHeight="1">
      <c r="C326" s="29"/>
      <c r="D326" s="30"/>
      <c r="F326" s="30"/>
      <c r="I326" s="29"/>
      <c r="J326" s="29"/>
      <c r="L326" s="29"/>
    </row>
    <row r="327" ht="15.75" customHeight="1">
      <c r="C327" s="29"/>
      <c r="D327" s="30"/>
      <c r="F327" s="30"/>
      <c r="I327" s="29"/>
      <c r="J327" s="29"/>
      <c r="L327" s="29"/>
    </row>
    <row r="328" ht="15.75" customHeight="1">
      <c r="C328" s="29"/>
      <c r="D328" s="30"/>
      <c r="F328" s="30"/>
      <c r="I328" s="29"/>
      <c r="J328" s="29"/>
      <c r="L328" s="29"/>
    </row>
    <row r="329" ht="15.75" customHeight="1">
      <c r="C329" s="29"/>
      <c r="D329" s="30"/>
      <c r="F329" s="30"/>
      <c r="I329" s="29"/>
      <c r="J329" s="29"/>
      <c r="L329" s="29"/>
    </row>
    <row r="330" ht="15.75" customHeight="1">
      <c r="C330" s="29"/>
      <c r="D330" s="30"/>
      <c r="F330" s="30"/>
      <c r="I330" s="29"/>
      <c r="J330" s="29"/>
      <c r="L330" s="29"/>
    </row>
    <row r="331" ht="15.75" customHeight="1">
      <c r="C331" s="29"/>
      <c r="D331" s="30"/>
      <c r="F331" s="30"/>
      <c r="I331" s="29"/>
      <c r="J331" s="29"/>
      <c r="L331" s="29"/>
    </row>
    <row r="332" ht="15.75" customHeight="1">
      <c r="C332" s="29"/>
      <c r="D332" s="30"/>
      <c r="F332" s="30"/>
      <c r="I332" s="29"/>
      <c r="J332" s="29"/>
      <c r="L332" s="29"/>
    </row>
    <row r="333" ht="15.75" customHeight="1">
      <c r="C333" s="29"/>
      <c r="D333" s="30"/>
      <c r="F333" s="30"/>
      <c r="I333" s="29"/>
      <c r="J333" s="29"/>
      <c r="L333" s="29"/>
    </row>
    <row r="334" ht="15.75" customHeight="1">
      <c r="C334" s="29"/>
      <c r="D334" s="30"/>
      <c r="F334" s="30"/>
      <c r="I334" s="29"/>
      <c r="J334" s="29"/>
      <c r="L334" s="29"/>
    </row>
    <row r="335" ht="15.75" customHeight="1">
      <c r="C335" s="29"/>
      <c r="D335" s="30"/>
      <c r="F335" s="30"/>
      <c r="I335" s="29"/>
      <c r="J335" s="29"/>
      <c r="L335" s="29"/>
    </row>
    <row r="336" ht="15.75" customHeight="1">
      <c r="C336" s="29"/>
      <c r="D336" s="30"/>
      <c r="F336" s="30"/>
      <c r="I336" s="29"/>
      <c r="J336" s="29"/>
      <c r="L336" s="29"/>
    </row>
    <row r="337" ht="15.75" customHeight="1">
      <c r="C337" s="29"/>
      <c r="D337" s="30"/>
      <c r="F337" s="30"/>
      <c r="I337" s="29"/>
      <c r="J337" s="29"/>
      <c r="L337" s="29"/>
    </row>
    <row r="338" ht="15.75" customHeight="1">
      <c r="C338" s="29"/>
      <c r="D338" s="30"/>
      <c r="F338" s="30"/>
      <c r="I338" s="29"/>
      <c r="J338" s="29"/>
      <c r="L338" s="29"/>
    </row>
    <row r="339" ht="15.75" customHeight="1">
      <c r="C339" s="29"/>
      <c r="D339" s="30"/>
      <c r="F339" s="30"/>
      <c r="I339" s="29"/>
      <c r="J339" s="29"/>
      <c r="L339" s="29"/>
    </row>
    <row r="340" ht="15.75" customHeight="1">
      <c r="C340" s="29"/>
      <c r="D340" s="30"/>
      <c r="F340" s="30"/>
      <c r="I340" s="29"/>
      <c r="J340" s="29"/>
      <c r="L340" s="29"/>
    </row>
    <row r="341" ht="15.75" customHeight="1">
      <c r="C341" s="29"/>
      <c r="D341" s="30"/>
      <c r="F341" s="30"/>
      <c r="I341" s="29"/>
      <c r="J341" s="29"/>
      <c r="L341" s="29"/>
    </row>
    <row r="342" ht="15.75" customHeight="1">
      <c r="C342" s="29"/>
      <c r="D342" s="30"/>
      <c r="F342" s="30"/>
      <c r="I342" s="29"/>
      <c r="J342" s="29"/>
      <c r="L342" s="29"/>
    </row>
    <row r="343" ht="15.75" customHeight="1">
      <c r="C343" s="29"/>
      <c r="D343" s="30"/>
      <c r="F343" s="30"/>
      <c r="I343" s="29"/>
      <c r="J343" s="29"/>
      <c r="L343" s="29"/>
    </row>
    <row r="344" ht="15.75" customHeight="1">
      <c r="C344" s="29"/>
      <c r="D344" s="30"/>
      <c r="F344" s="30"/>
      <c r="I344" s="29"/>
      <c r="J344" s="29"/>
      <c r="L344" s="29"/>
    </row>
    <row r="345" ht="15.75" customHeight="1">
      <c r="C345" s="29"/>
      <c r="D345" s="30"/>
      <c r="F345" s="30"/>
      <c r="I345" s="29"/>
      <c r="J345" s="29"/>
      <c r="L345" s="29"/>
    </row>
    <row r="346" ht="15.75" customHeight="1">
      <c r="C346" s="29"/>
      <c r="D346" s="30"/>
      <c r="F346" s="30"/>
      <c r="I346" s="29"/>
      <c r="J346" s="29"/>
      <c r="L346" s="29"/>
    </row>
    <row r="347" ht="15.75" customHeight="1">
      <c r="C347" s="29"/>
      <c r="D347" s="30"/>
      <c r="F347" s="30"/>
      <c r="I347" s="29"/>
      <c r="J347" s="29"/>
      <c r="L347" s="29"/>
    </row>
    <row r="348" ht="15.75" customHeight="1">
      <c r="C348" s="29"/>
      <c r="D348" s="30"/>
      <c r="F348" s="30"/>
      <c r="I348" s="29"/>
      <c r="J348" s="29"/>
      <c r="L348" s="29"/>
    </row>
    <row r="349" ht="15.75" customHeight="1">
      <c r="C349" s="29"/>
      <c r="D349" s="30"/>
      <c r="F349" s="30"/>
      <c r="I349" s="29"/>
      <c r="J349" s="29"/>
      <c r="L349" s="29"/>
    </row>
    <row r="350" ht="15.75" customHeight="1">
      <c r="C350" s="29"/>
      <c r="D350" s="30"/>
      <c r="F350" s="30"/>
      <c r="I350" s="29"/>
      <c r="J350" s="29"/>
      <c r="L350" s="29"/>
    </row>
    <row r="351" ht="15.75" customHeight="1">
      <c r="C351" s="29"/>
      <c r="D351" s="30"/>
      <c r="F351" s="30"/>
      <c r="I351" s="29"/>
      <c r="J351" s="29"/>
      <c r="L351" s="29"/>
    </row>
    <row r="352" ht="15.75" customHeight="1">
      <c r="C352" s="29"/>
      <c r="D352" s="30"/>
      <c r="F352" s="30"/>
      <c r="I352" s="29"/>
      <c r="J352" s="29"/>
      <c r="L352" s="29"/>
    </row>
    <row r="353" ht="15.75" customHeight="1">
      <c r="C353" s="29"/>
      <c r="D353" s="30"/>
      <c r="F353" s="30"/>
      <c r="I353" s="29"/>
      <c r="J353" s="29"/>
      <c r="L353" s="29"/>
    </row>
    <row r="354" ht="15.75" customHeight="1">
      <c r="C354" s="29"/>
      <c r="D354" s="30"/>
      <c r="F354" s="30"/>
      <c r="I354" s="29"/>
      <c r="J354" s="29"/>
      <c r="L354" s="29"/>
    </row>
    <row r="355" ht="15.75" customHeight="1">
      <c r="C355" s="29"/>
      <c r="D355" s="30"/>
      <c r="F355" s="30"/>
      <c r="I355" s="29"/>
      <c r="J355" s="29"/>
      <c r="L355" s="29"/>
    </row>
    <row r="356" ht="15.75" customHeight="1">
      <c r="C356" s="29"/>
      <c r="D356" s="30"/>
      <c r="F356" s="30"/>
      <c r="I356" s="29"/>
      <c r="J356" s="29"/>
      <c r="L356" s="29"/>
    </row>
    <row r="357" ht="15.75" customHeight="1">
      <c r="C357" s="29"/>
      <c r="D357" s="30"/>
      <c r="F357" s="30"/>
      <c r="I357" s="29"/>
      <c r="J357" s="29"/>
      <c r="L357" s="29"/>
    </row>
    <row r="358" ht="15.75" customHeight="1">
      <c r="C358" s="29"/>
      <c r="D358" s="30"/>
      <c r="F358" s="30"/>
      <c r="I358" s="29"/>
      <c r="J358" s="29"/>
      <c r="L358" s="29"/>
    </row>
    <row r="359" ht="15.75" customHeight="1">
      <c r="C359" s="29"/>
      <c r="D359" s="30"/>
      <c r="F359" s="30"/>
      <c r="I359" s="29"/>
      <c r="J359" s="29"/>
      <c r="L359" s="29"/>
    </row>
    <row r="360" ht="15.75" customHeight="1">
      <c r="C360" s="29"/>
      <c r="D360" s="30"/>
      <c r="F360" s="30"/>
      <c r="I360" s="29"/>
      <c r="J360" s="29"/>
      <c r="L360" s="29"/>
    </row>
    <row r="361" ht="15.75" customHeight="1">
      <c r="C361" s="29"/>
      <c r="D361" s="30"/>
      <c r="F361" s="30"/>
      <c r="I361" s="29"/>
      <c r="J361" s="29"/>
      <c r="L361" s="29"/>
    </row>
    <row r="362" ht="15.75" customHeight="1">
      <c r="C362" s="29"/>
      <c r="D362" s="30"/>
      <c r="F362" s="30"/>
      <c r="I362" s="29"/>
      <c r="J362" s="29"/>
      <c r="L362" s="29"/>
    </row>
    <row r="363" ht="15.75" customHeight="1">
      <c r="C363" s="29"/>
      <c r="D363" s="30"/>
      <c r="F363" s="30"/>
      <c r="I363" s="29"/>
      <c r="J363" s="29"/>
      <c r="L363" s="29"/>
    </row>
    <row r="364" ht="15.75" customHeight="1">
      <c r="C364" s="29"/>
      <c r="D364" s="30"/>
      <c r="F364" s="30"/>
      <c r="I364" s="29"/>
      <c r="J364" s="29"/>
      <c r="L364" s="29"/>
    </row>
    <row r="365" ht="15.75" customHeight="1">
      <c r="C365" s="29"/>
      <c r="D365" s="30"/>
      <c r="F365" s="30"/>
      <c r="I365" s="29"/>
      <c r="J365" s="29"/>
      <c r="L365" s="29"/>
    </row>
    <row r="366" ht="15.75" customHeight="1">
      <c r="C366" s="29"/>
      <c r="D366" s="30"/>
      <c r="F366" s="30"/>
      <c r="I366" s="29"/>
      <c r="J366" s="29"/>
      <c r="L366" s="29"/>
    </row>
    <row r="367" ht="15.75" customHeight="1">
      <c r="C367" s="29"/>
      <c r="D367" s="30"/>
      <c r="F367" s="30"/>
      <c r="I367" s="29"/>
      <c r="J367" s="29"/>
      <c r="L367" s="29"/>
    </row>
    <row r="368" ht="15.75" customHeight="1">
      <c r="C368" s="29"/>
      <c r="D368" s="30"/>
      <c r="F368" s="30"/>
      <c r="I368" s="29"/>
      <c r="J368" s="29"/>
      <c r="L368" s="29"/>
    </row>
    <row r="369" ht="15.75" customHeight="1">
      <c r="C369" s="29"/>
      <c r="D369" s="30"/>
      <c r="F369" s="30"/>
      <c r="I369" s="29"/>
      <c r="J369" s="29"/>
      <c r="L369" s="29"/>
    </row>
    <row r="370" ht="15.75" customHeight="1">
      <c r="C370" s="29"/>
      <c r="D370" s="30"/>
      <c r="F370" s="30"/>
      <c r="I370" s="29"/>
      <c r="J370" s="29"/>
      <c r="L370" s="29"/>
    </row>
    <row r="371" ht="15.75" customHeight="1">
      <c r="C371" s="29"/>
      <c r="D371" s="30"/>
      <c r="F371" s="30"/>
      <c r="I371" s="29"/>
      <c r="J371" s="29"/>
      <c r="L371" s="29"/>
    </row>
    <row r="372" ht="15.75" customHeight="1">
      <c r="C372" s="29"/>
      <c r="D372" s="30"/>
      <c r="F372" s="30"/>
      <c r="I372" s="29"/>
      <c r="J372" s="29"/>
      <c r="L372" s="29"/>
    </row>
    <row r="373" ht="15.75" customHeight="1">
      <c r="C373" s="29"/>
      <c r="D373" s="30"/>
      <c r="F373" s="30"/>
      <c r="I373" s="29"/>
      <c r="J373" s="29"/>
      <c r="L373" s="29"/>
    </row>
    <row r="374" ht="15.75" customHeight="1">
      <c r="C374" s="29"/>
      <c r="D374" s="30"/>
      <c r="F374" s="30"/>
      <c r="I374" s="29"/>
      <c r="J374" s="29"/>
      <c r="L374" s="29"/>
    </row>
    <row r="375" ht="15.75" customHeight="1">
      <c r="C375" s="29"/>
      <c r="D375" s="30"/>
      <c r="F375" s="30"/>
      <c r="I375" s="29"/>
      <c r="J375" s="29"/>
      <c r="L375" s="29"/>
    </row>
    <row r="376" ht="15.75" customHeight="1">
      <c r="C376" s="29"/>
      <c r="D376" s="30"/>
      <c r="F376" s="30"/>
      <c r="I376" s="29"/>
      <c r="J376" s="29"/>
      <c r="L376" s="29"/>
    </row>
    <row r="377" ht="15.75" customHeight="1">
      <c r="C377" s="29"/>
      <c r="D377" s="30"/>
      <c r="F377" s="30"/>
      <c r="I377" s="29"/>
      <c r="J377" s="29"/>
      <c r="L377" s="29"/>
    </row>
    <row r="378" ht="15.75" customHeight="1">
      <c r="C378" s="29"/>
      <c r="D378" s="30"/>
      <c r="F378" s="30"/>
      <c r="I378" s="29"/>
      <c r="J378" s="29"/>
      <c r="L378" s="29"/>
    </row>
    <row r="379" ht="15.75" customHeight="1">
      <c r="C379" s="29"/>
      <c r="D379" s="30"/>
      <c r="F379" s="30"/>
      <c r="I379" s="29"/>
      <c r="J379" s="29"/>
      <c r="L379" s="29"/>
    </row>
    <row r="380" ht="15.75" customHeight="1">
      <c r="C380" s="29"/>
      <c r="D380" s="30"/>
      <c r="F380" s="30"/>
      <c r="I380" s="29"/>
      <c r="J380" s="29"/>
      <c r="L380" s="29"/>
    </row>
    <row r="381" ht="15.75" customHeight="1">
      <c r="C381" s="29"/>
      <c r="D381" s="30"/>
      <c r="F381" s="30"/>
      <c r="I381" s="29"/>
      <c r="J381" s="29"/>
      <c r="L381" s="29"/>
    </row>
    <row r="382" ht="15.75" customHeight="1">
      <c r="C382" s="29"/>
      <c r="D382" s="30"/>
      <c r="F382" s="30"/>
      <c r="I382" s="29"/>
      <c r="J382" s="29"/>
      <c r="L382" s="29"/>
    </row>
    <row r="383" ht="15.75" customHeight="1">
      <c r="C383" s="29"/>
      <c r="D383" s="30"/>
      <c r="F383" s="30"/>
      <c r="I383" s="29"/>
      <c r="J383" s="29"/>
      <c r="L383" s="29"/>
    </row>
    <row r="384" ht="15.75" customHeight="1">
      <c r="C384" s="29"/>
      <c r="D384" s="30"/>
      <c r="F384" s="30"/>
      <c r="I384" s="29"/>
      <c r="J384" s="29"/>
      <c r="L384" s="29"/>
    </row>
    <row r="385" ht="15.75" customHeight="1">
      <c r="C385" s="29"/>
      <c r="D385" s="30"/>
      <c r="F385" s="30"/>
      <c r="I385" s="29"/>
      <c r="J385" s="29"/>
      <c r="L385" s="29"/>
    </row>
    <row r="386" ht="15.75" customHeight="1">
      <c r="C386" s="29"/>
      <c r="D386" s="30"/>
      <c r="F386" s="30"/>
      <c r="I386" s="29"/>
      <c r="J386" s="29"/>
      <c r="L386" s="29"/>
    </row>
    <row r="387" ht="15.75" customHeight="1">
      <c r="C387" s="29"/>
      <c r="D387" s="30"/>
      <c r="F387" s="30"/>
      <c r="I387" s="29"/>
      <c r="J387" s="29"/>
      <c r="L387" s="29"/>
    </row>
    <row r="388" ht="15.75" customHeight="1">
      <c r="C388" s="29"/>
      <c r="D388" s="30"/>
      <c r="F388" s="30"/>
      <c r="I388" s="29"/>
      <c r="J388" s="29"/>
      <c r="L388" s="29"/>
    </row>
    <row r="389" ht="15.75" customHeight="1">
      <c r="C389" s="29"/>
      <c r="D389" s="30"/>
      <c r="F389" s="30"/>
      <c r="I389" s="29"/>
      <c r="J389" s="29"/>
      <c r="L389" s="29"/>
    </row>
    <row r="390" ht="15.75" customHeight="1">
      <c r="C390" s="29"/>
      <c r="D390" s="30"/>
      <c r="F390" s="30"/>
      <c r="I390" s="29"/>
      <c r="J390" s="29"/>
      <c r="L390" s="29"/>
    </row>
    <row r="391" ht="15.75" customHeight="1">
      <c r="C391" s="29"/>
      <c r="D391" s="30"/>
      <c r="F391" s="30"/>
      <c r="I391" s="29"/>
      <c r="J391" s="29"/>
      <c r="L391" s="29"/>
    </row>
    <row r="392" ht="15.75" customHeight="1">
      <c r="C392" s="29"/>
      <c r="D392" s="30"/>
      <c r="F392" s="30"/>
      <c r="I392" s="29"/>
      <c r="J392" s="29"/>
      <c r="L392" s="29"/>
    </row>
    <row r="393" ht="15.75" customHeight="1">
      <c r="C393" s="29"/>
      <c r="D393" s="30"/>
      <c r="F393" s="30"/>
      <c r="I393" s="29"/>
      <c r="J393" s="29"/>
      <c r="L393" s="29"/>
    </row>
    <row r="394" ht="15.75" customHeight="1">
      <c r="C394" s="29"/>
      <c r="D394" s="30"/>
      <c r="F394" s="30"/>
      <c r="I394" s="29"/>
      <c r="J394" s="29"/>
      <c r="L394" s="29"/>
    </row>
    <row r="395" ht="15.75" customHeight="1">
      <c r="C395" s="29"/>
      <c r="D395" s="30"/>
      <c r="F395" s="30"/>
      <c r="I395" s="29"/>
      <c r="J395" s="29"/>
      <c r="L395" s="29"/>
    </row>
    <row r="396" ht="15.75" customHeight="1">
      <c r="C396" s="29"/>
      <c r="D396" s="30"/>
      <c r="F396" s="30"/>
      <c r="I396" s="29"/>
      <c r="J396" s="29"/>
      <c r="L396" s="29"/>
    </row>
    <row r="397" ht="15.75" customHeight="1">
      <c r="C397" s="29"/>
      <c r="D397" s="30"/>
      <c r="F397" s="30"/>
      <c r="I397" s="29"/>
      <c r="J397" s="29"/>
      <c r="L397" s="29"/>
    </row>
    <row r="398" ht="15.75" customHeight="1">
      <c r="C398" s="29"/>
      <c r="D398" s="30"/>
      <c r="F398" s="30"/>
      <c r="I398" s="29"/>
      <c r="J398" s="29"/>
      <c r="L398" s="29"/>
    </row>
    <row r="399" ht="15.75" customHeight="1">
      <c r="C399" s="29"/>
      <c r="D399" s="30"/>
      <c r="F399" s="30"/>
      <c r="I399" s="29"/>
      <c r="J399" s="29"/>
      <c r="L399" s="29"/>
    </row>
    <row r="400" ht="15.75" customHeight="1">
      <c r="C400" s="29"/>
      <c r="D400" s="30"/>
      <c r="F400" s="30"/>
      <c r="I400" s="29"/>
      <c r="J400" s="29"/>
      <c r="L400" s="29"/>
    </row>
    <row r="401" ht="15.75" customHeight="1">
      <c r="C401" s="29"/>
      <c r="D401" s="30"/>
      <c r="F401" s="30"/>
      <c r="I401" s="29"/>
      <c r="J401" s="29"/>
      <c r="L401" s="29"/>
    </row>
    <row r="402" ht="15.75" customHeight="1">
      <c r="C402" s="29"/>
      <c r="D402" s="30"/>
      <c r="F402" s="30"/>
      <c r="I402" s="29"/>
      <c r="J402" s="29"/>
      <c r="L402" s="29"/>
    </row>
    <row r="403" ht="15.75" customHeight="1">
      <c r="C403" s="29"/>
      <c r="D403" s="30"/>
      <c r="F403" s="30"/>
      <c r="I403" s="29"/>
      <c r="J403" s="29"/>
      <c r="L403" s="29"/>
    </row>
    <row r="404" ht="15.75" customHeight="1">
      <c r="C404" s="29"/>
      <c r="D404" s="30"/>
      <c r="F404" s="30"/>
      <c r="I404" s="29"/>
      <c r="J404" s="29"/>
      <c r="L404" s="29"/>
    </row>
    <row r="405" ht="15.75" customHeight="1">
      <c r="C405" s="29"/>
      <c r="D405" s="30"/>
      <c r="F405" s="30"/>
      <c r="I405" s="29"/>
      <c r="J405" s="29"/>
      <c r="L405" s="29"/>
    </row>
    <row r="406" ht="15.75" customHeight="1">
      <c r="C406" s="29"/>
      <c r="D406" s="30"/>
      <c r="F406" s="30"/>
      <c r="I406" s="29"/>
      <c r="J406" s="29"/>
      <c r="L406" s="29"/>
    </row>
    <row r="407" ht="15.75" customHeight="1">
      <c r="C407" s="29"/>
      <c r="D407" s="30"/>
      <c r="F407" s="30"/>
      <c r="I407" s="29"/>
      <c r="J407" s="29"/>
      <c r="L407" s="29"/>
    </row>
    <row r="408" ht="15.75" customHeight="1">
      <c r="C408" s="29"/>
      <c r="D408" s="30"/>
      <c r="F408" s="30"/>
      <c r="I408" s="29"/>
      <c r="J408" s="29"/>
      <c r="L408" s="29"/>
    </row>
    <row r="409" ht="15.75" customHeight="1">
      <c r="C409" s="29"/>
      <c r="D409" s="30"/>
      <c r="F409" s="30"/>
      <c r="I409" s="29"/>
      <c r="J409" s="29"/>
      <c r="L409" s="29"/>
    </row>
    <row r="410" ht="15.75" customHeight="1">
      <c r="C410" s="29"/>
      <c r="D410" s="30"/>
      <c r="F410" s="30"/>
      <c r="I410" s="29"/>
      <c r="J410" s="29"/>
      <c r="L410" s="29"/>
    </row>
    <row r="411" ht="15.75" customHeight="1">
      <c r="C411" s="29"/>
      <c r="D411" s="30"/>
      <c r="F411" s="30"/>
      <c r="I411" s="29"/>
      <c r="J411" s="29"/>
      <c r="L411" s="29"/>
    </row>
    <row r="412" ht="15.75" customHeight="1">
      <c r="C412" s="29"/>
      <c r="D412" s="30"/>
      <c r="F412" s="30"/>
      <c r="I412" s="29"/>
      <c r="J412" s="29"/>
      <c r="L412" s="29"/>
    </row>
    <row r="413" ht="15.75" customHeight="1">
      <c r="C413" s="29"/>
      <c r="D413" s="30"/>
      <c r="F413" s="30"/>
      <c r="I413" s="29"/>
      <c r="J413" s="29"/>
      <c r="L413" s="29"/>
    </row>
    <row r="414" ht="15.75" customHeight="1">
      <c r="C414" s="29"/>
      <c r="D414" s="30"/>
      <c r="F414" s="30"/>
      <c r="I414" s="29"/>
      <c r="J414" s="29"/>
      <c r="L414" s="29"/>
    </row>
    <row r="415" ht="15.75" customHeight="1">
      <c r="C415" s="29"/>
      <c r="D415" s="30"/>
      <c r="F415" s="30"/>
      <c r="I415" s="29"/>
      <c r="J415" s="29"/>
      <c r="L415" s="29"/>
    </row>
    <row r="416" ht="15.75" customHeight="1">
      <c r="C416" s="29"/>
      <c r="D416" s="30"/>
      <c r="F416" s="30"/>
      <c r="I416" s="29"/>
      <c r="J416" s="29"/>
      <c r="L416" s="29"/>
    </row>
    <row r="417" ht="15.75" customHeight="1">
      <c r="C417" s="29"/>
      <c r="D417" s="30"/>
      <c r="F417" s="30"/>
      <c r="I417" s="29"/>
      <c r="J417" s="29"/>
      <c r="L417" s="29"/>
    </row>
    <row r="418" ht="15.75" customHeight="1">
      <c r="C418" s="29"/>
      <c r="D418" s="30"/>
      <c r="F418" s="30"/>
      <c r="I418" s="29"/>
      <c r="J418" s="29"/>
      <c r="L418" s="29"/>
    </row>
    <row r="419" ht="15.75" customHeight="1">
      <c r="C419" s="29"/>
      <c r="D419" s="30"/>
      <c r="F419" s="30"/>
      <c r="I419" s="29"/>
      <c r="J419" s="29"/>
      <c r="L419" s="29"/>
    </row>
    <row r="420" ht="15.75" customHeight="1">
      <c r="C420" s="29"/>
      <c r="D420" s="30"/>
      <c r="F420" s="30"/>
      <c r="I420" s="29"/>
      <c r="J420" s="29"/>
      <c r="L420" s="29"/>
    </row>
    <row r="421" ht="15.75" customHeight="1">
      <c r="C421" s="29"/>
      <c r="D421" s="30"/>
      <c r="F421" s="30"/>
      <c r="I421" s="29"/>
      <c r="J421" s="29"/>
      <c r="L421" s="29"/>
    </row>
    <row r="422" ht="15.75" customHeight="1">
      <c r="C422" s="29"/>
      <c r="D422" s="30"/>
      <c r="F422" s="30"/>
      <c r="I422" s="29"/>
      <c r="J422" s="29"/>
      <c r="L422" s="29"/>
    </row>
    <row r="423" ht="15.75" customHeight="1">
      <c r="C423" s="29"/>
      <c r="D423" s="30"/>
      <c r="F423" s="30"/>
      <c r="I423" s="29"/>
      <c r="J423" s="29"/>
      <c r="L423" s="29"/>
    </row>
    <row r="424" ht="15.75" customHeight="1">
      <c r="C424" s="29"/>
      <c r="D424" s="30"/>
      <c r="F424" s="30"/>
      <c r="I424" s="29"/>
      <c r="J424" s="29"/>
      <c r="L424" s="29"/>
    </row>
    <row r="425" ht="15.75" customHeight="1">
      <c r="C425" s="29"/>
      <c r="D425" s="30"/>
      <c r="F425" s="30"/>
      <c r="I425" s="29"/>
      <c r="J425" s="29"/>
      <c r="L425" s="29"/>
    </row>
    <row r="426" ht="15.75" customHeight="1">
      <c r="C426" s="29"/>
      <c r="D426" s="30"/>
      <c r="F426" s="30"/>
      <c r="I426" s="29"/>
      <c r="J426" s="29"/>
      <c r="L426" s="29"/>
    </row>
    <row r="427" ht="15.75" customHeight="1">
      <c r="C427" s="29"/>
      <c r="D427" s="30"/>
      <c r="F427" s="30"/>
      <c r="I427" s="29"/>
      <c r="J427" s="29"/>
      <c r="L427" s="29"/>
    </row>
    <row r="428" ht="15.75" customHeight="1">
      <c r="C428" s="29"/>
      <c r="D428" s="30"/>
      <c r="F428" s="30"/>
      <c r="I428" s="29"/>
      <c r="J428" s="29"/>
      <c r="L428" s="29"/>
    </row>
    <row r="429" ht="15.75" customHeight="1">
      <c r="C429" s="29"/>
      <c r="D429" s="30"/>
      <c r="F429" s="30"/>
      <c r="I429" s="29"/>
      <c r="J429" s="29"/>
      <c r="L429" s="29"/>
    </row>
    <row r="430" ht="15.75" customHeight="1">
      <c r="C430" s="29"/>
      <c r="D430" s="30"/>
      <c r="F430" s="30"/>
      <c r="I430" s="29"/>
      <c r="J430" s="29"/>
      <c r="L430" s="29"/>
    </row>
    <row r="431" ht="15.75" customHeight="1">
      <c r="C431" s="29"/>
      <c r="D431" s="30"/>
      <c r="F431" s="30"/>
      <c r="I431" s="29"/>
      <c r="J431" s="29"/>
      <c r="L431" s="29"/>
    </row>
    <row r="432" ht="15.75" customHeight="1">
      <c r="C432" s="29"/>
      <c r="D432" s="30"/>
      <c r="F432" s="30"/>
      <c r="I432" s="29"/>
      <c r="J432" s="29"/>
      <c r="L432" s="29"/>
    </row>
    <row r="433" ht="15.75" customHeight="1">
      <c r="C433" s="29"/>
      <c r="D433" s="30"/>
      <c r="F433" s="30"/>
      <c r="I433" s="29"/>
      <c r="J433" s="29"/>
      <c r="L433" s="29"/>
    </row>
    <row r="434" ht="15.75" customHeight="1">
      <c r="C434" s="29"/>
      <c r="D434" s="30"/>
      <c r="F434" s="30"/>
      <c r="I434" s="29"/>
      <c r="J434" s="29"/>
      <c r="L434" s="29"/>
    </row>
    <row r="435" ht="15.75" customHeight="1">
      <c r="C435" s="29"/>
      <c r="D435" s="30"/>
      <c r="F435" s="30"/>
      <c r="I435" s="29"/>
      <c r="J435" s="29"/>
      <c r="L435" s="29"/>
    </row>
    <row r="436" ht="15.75" customHeight="1">
      <c r="C436" s="29"/>
      <c r="D436" s="30"/>
      <c r="F436" s="30"/>
      <c r="I436" s="29"/>
      <c r="J436" s="29"/>
      <c r="L436" s="29"/>
    </row>
    <row r="437" ht="15.75" customHeight="1">
      <c r="C437" s="29"/>
      <c r="D437" s="30"/>
      <c r="F437" s="30"/>
      <c r="I437" s="29"/>
      <c r="J437" s="29"/>
      <c r="L437" s="29"/>
    </row>
    <row r="438" ht="15.75" customHeight="1">
      <c r="C438" s="29"/>
      <c r="D438" s="30"/>
      <c r="F438" s="30"/>
      <c r="I438" s="29"/>
      <c r="J438" s="29"/>
      <c r="L438" s="29"/>
    </row>
    <row r="439" ht="15.75" customHeight="1">
      <c r="C439" s="29"/>
      <c r="D439" s="30"/>
      <c r="F439" s="30"/>
      <c r="I439" s="29"/>
      <c r="J439" s="29"/>
      <c r="L439" s="29"/>
    </row>
    <row r="440" ht="15.75" customHeight="1">
      <c r="C440" s="29"/>
      <c r="D440" s="30"/>
      <c r="F440" s="30"/>
      <c r="I440" s="29"/>
      <c r="J440" s="29"/>
      <c r="L440" s="29"/>
    </row>
    <row r="441" ht="15.75" customHeight="1">
      <c r="C441" s="29"/>
      <c r="D441" s="30"/>
      <c r="F441" s="30"/>
      <c r="I441" s="29"/>
      <c r="J441" s="29"/>
      <c r="L441" s="29"/>
    </row>
    <row r="442" ht="15.75" customHeight="1">
      <c r="C442" s="29"/>
      <c r="D442" s="30"/>
      <c r="F442" s="30"/>
      <c r="I442" s="29"/>
      <c r="J442" s="29"/>
      <c r="L442" s="29"/>
    </row>
    <row r="443" ht="15.75" customHeight="1">
      <c r="C443" s="29"/>
      <c r="D443" s="30"/>
      <c r="F443" s="30"/>
      <c r="I443" s="29"/>
      <c r="J443" s="29"/>
      <c r="L443" s="29"/>
    </row>
    <row r="444" ht="15.75" customHeight="1">
      <c r="C444" s="29"/>
      <c r="D444" s="30"/>
      <c r="F444" s="30"/>
      <c r="I444" s="29"/>
      <c r="J444" s="29"/>
      <c r="L444" s="29"/>
    </row>
    <row r="445" ht="15.75" customHeight="1">
      <c r="C445" s="29"/>
      <c r="D445" s="30"/>
      <c r="F445" s="30"/>
      <c r="I445" s="29"/>
      <c r="J445" s="29"/>
      <c r="L445" s="29"/>
    </row>
    <row r="446" ht="15.75" customHeight="1">
      <c r="C446" s="29"/>
      <c r="D446" s="30"/>
      <c r="F446" s="30"/>
      <c r="I446" s="29"/>
      <c r="J446" s="29"/>
      <c r="L446" s="29"/>
    </row>
    <row r="447" ht="15.75" customHeight="1">
      <c r="C447" s="29"/>
      <c r="D447" s="30"/>
      <c r="F447" s="30"/>
      <c r="I447" s="29"/>
      <c r="J447" s="29"/>
      <c r="L447" s="29"/>
    </row>
    <row r="448" ht="15.75" customHeight="1">
      <c r="C448" s="29"/>
      <c r="D448" s="30"/>
      <c r="F448" s="30"/>
      <c r="I448" s="29"/>
      <c r="J448" s="29"/>
      <c r="L448" s="29"/>
    </row>
    <row r="449" ht="15.75" customHeight="1">
      <c r="C449" s="29"/>
      <c r="D449" s="30"/>
      <c r="F449" s="30"/>
      <c r="I449" s="29"/>
      <c r="J449" s="29"/>
      <c r="L449" s="29"/>
    </row>
    <row r="450" ht="15.75" customHeight="1">
      <c r="C450" s="29"/>
      <c r="D450" s="30"/>
      <c r="F450" s="30"/>
      <c r="I450" s="29"/>
      <c r="J450" s="29"/>
      <c r="L450" s="29"/>
    </row>
    <row r="451" ht="15.75" customHeight="1">
      <c r="C451" s="29"/>
      <c r="D451" s="30"/>
      <c r="F451" s="30"/>
      <c r="I451" s="29"/>
      <c r="J451" s="29"/>
      <c r="L451" s="29"/>
    </row>
    <row r="452" ht="15.75" customHeight="1">
      <c r="C452" s="29"/>
      <c r="D452" s="30"/>
      <c r="F452" s="30"/>
      <c r="I452" s="29"/>
      <c r="J452" s="29"/>
      <c r="L452" s="29"/>
    </row>
    <row r="453" ht="15.75" customHeight="1">
      <c r="C453" s="29"/>
      <c r="D453" s="30"/>
      <c r="F453" s="30"/>
      <c r="I453" s="29"/>
      <c r="J453" s="29"/>
      <c r="L453" s="29"/>
    </row>
    <row r="454" ht="15.75" customHeight="1">
      <c r="C454" s="29"/>
      <c r="D454" s="30"/>
      <c r="F454" s="30"/>
      <c r="I454" s="29"/>
      <c r="J454" s="29"/>
      <c r="L454" s="29"/>
    </row>
    <row r="455" ht="15.75" customHeight="1">
      <c r="C455" s="29"/>
      <c r="D455" s="30"/>
      <c r="F455" s="30"/>
      <c r="I455" s="29"/>
      <c r="J455" s="29"/>
      <c r="L455" s="29"/>
    </row>
    <row r="456" ht="15.75" customHeight="1">
      <c r="C456" s="29"/>
      <c r="D456" s="30"/>
      <c r="F456" s="30"/>
      <c r="I456" s="29"/>
      <c r="J456" s="29"/>
      <c r="L456" s="29"/>
    </row>
    <row r="457" ht="15.75" customHeight="1">
      <c r="C457" s="29"/>
      <c r="D457" s="30"/>
      <c r="F457" s="30"/>
      <c r="I457" s="29"/>
      <c r="J457" s="29"/>
      <c r="L457" s="29"/>
    </row>
    <row r="458" ht="15.75" customHeight="1">
      <c r="C458" s="29"/>
      <c r="D458" s="30"/>
      <c r="F458" s="30"/>
      <c r="I458" s="29"/>
      <c r="J458" s="29"/>
      <c r="L458" s="29"/>
    </row>
    <row r="459" ht="15.75" customHeight="1">
      <c r="C459" s="29"/>
      <c r="D459" s="30"/>
      <c r="F459" s="30"/>
      <c r="I459" s="29"/>
      <c r="J459" s="29"/>
      <c r="L459" s="29"/>
    </row>
    <row r="460" ht="15.75" customHeight="1">
      <c r="C460" s="29"/>
      <c r="D460" s="30"/>
      <c r="F460" s="30"/>
      <c r="I460" s="29"/>
      <c r="J460" s="29"/>
      <c r="L460" s="29"/>
    </row>
    <row r="461" ht="15.75" customHeight="1">
      <c r="C461" s="29"/>
      <c r="D461" s="30"/>
      <c r="F461" s="30"/>
      <c r="I461" s="29"/>
      <c r="J461" s="29"/>
      <c r="L461" s="29"/>
    </row>
    <row r="462" ht="15.75" customHeight="1">
      <c r="C462" s="29"/>
      <c r="D462" s="30"/>
      <c r="F462" s="30"/>
      <c r="I462" s="29"/>
      <c r="J462" s="29"/>
      <c r="L462" s="29"/>
    </row>
    <row r="463" ht="15.75" customHeight="1">
      <c r="C463" s="29"/>
      <c r="D463" s="30"/>
      <c r="F463" s="30"/>
      <c r="I463" s="29"/>
      <c r="J463" s="29"/>
      <c r="L463" s="29"/>
    </row>
    <row r="464" ht="15.75" customHeight="1">
      <c r="C464" s="29"/>
      <c r="D464" s="30"/>
      <c r="F464" s="30"/>
      <c r="I464" s="29"/>
      <c r="J464" s="29"/>
      <c r="L464" s="29"/>
    </row>
    <row r="465" ht="15.75" customHeight="1">
      <c r="C465" s="29"/>
      <c r="D465" s="30"/>
      <c r="F465" s="30"/>
      <c r="I465" s="29"/>
      <c r="J465" s="29"/>
      <c r="L465" s="29"/>
    </row>
    <row r="466" ht="15.75" customHeight="1">
      <c r="C466" s="29"/>
      <c r="D466" s="30"/>
      <c r="F466" s="30"/>
      <c r="I466" s="29"/>
      <c r="J466" s="29"/>
      <c r="L466" s="29"/>
    </row>
    <row r="467" ht="15.75" customHeight="1">
      <c r="C467" s="29"/>
      <c r="D467" s="30"/>
      <c r="F467" s="30"/>
      <c r="I467" s="29"/>
      <c r="J467" s="29"/>
      <c r="L467" s="29"/>
    </row>
    <row r="468" ht="15.75" customHeight="1">
      <c r="C468" s="29"/>
      <c r="D468" s="30"/>
      <c r="F468" s="30"/>
      <c r="I468" s="29"/>
      <c r="J468" s="29"/>
      <c r="L468" s="29"/>
    </row>
    <row r="469" ht="15.75" customHeight="1">
      <c r="C469" s="29"/>
      <c r="D469" s="30"/>
      <c r="F469" s="30"/>
      <c r="I469" s="29"/>
      <c r="J469" s="29"/>
      <c r="L469" s="29"/>
    </row>
    <row r="470" ht="15.75" customHeight="1">
      <c r="C470" s="29"/>
      <c r="D470" s="30"/>
      <c r="F470" s="30"/>
      <c r="I470" s="29"/>
      <c r="J470" s="29"/>
      <c r="L470" s="29"/>
    </row>
    <row r="471" ht="15.75" customHeight="1">
      <c r="C471" s="29"/>
      <c r="D471" s="30"/>
      <c r="F471" s="30"/>
      <c r="I471" s="29"/>
      <c r="J471" s="29"/>
      <c r="L471" s="29"/>
    </row>
    <row r="472" ht="15.75" customHeight="1">
      <c r="C472" s="29"/>
      <c r="D472" s="30"/>
      <c r="F472" s="30"/>
      <c r="I472" s="29"/>
      <c r="J472" s="29"/>
      <c r="L472" s="29"/>
    </row>
    <row r="473" ht="15.75" customHeight="1">
      <c r="C473" s="29"/>
      <c r="D473" s="30"/>
      <c r="F473" s="30"/>
      <c r="I473" s="29"/>
      <c r="J473" s="29"/>
      <c r="L473" s="29"/>
    </row>
    <row r="474" ht="15.75" customHeight="1">
      <c r="C474" s="29"/>
      <c r="D474" s="30"/>
      <c r="F474" s="30"/>
      <c r="I474" s="29"/>
      <c r="J474" s="29"/>
      <c r="L474" s="29"/>
    </row>
    <row r="475" ht="15.75" customHeight="1">
      <c r="C475" s="29"/>
      <c r="D475" s="30"/>
      <c r="F475" s="30"/>
      <c r="I475" s="29"/>
      <c r="J475" s="29"/>
      <c r="L475" s="29"/>
    </row>
    <row r="476" ht="15.75" customHeight="1">
      <c r="C476" s="29"/>
      <c r="D476" s="30"/>
      <c r="F476" s="30"/>
      <c r="I476" s="29"/>
      <c r="J476" s="29"/>
      <c r="L476" s="29"/>
    </row>
    <row r="477" ht="15.75" customHeight="1">
      <c r="C477" s="29"/>
      <c r="D477" s="30"/>
      <c r="F477" s="30"/>
      <c r="I477" s="29"/>
      <c r="J477" s="29"/>
      <c r="L477" s="29"/>
    </row>
    <row r="478" ht="15.75" customHeight="1">
      <c r="C478" s="29"/>
      <c r="D478" s="30"/>
      <c r="F478" s="30"/>
      <c r="I478" s="29"/>
      <c r="J478" s="29"/>
      <c r="L478" s="29"/>
    </row>
    <row r="479" ht="15.75" customHeight="1">
      <c r="C479" s="29"/>
      <c r="D479" s="30"/>
      <c r="F479" s="30"/>
      <c r="I479" s="29"/>
      <c r="J479" s="29"/>
      <c r="L479" s="29"/>
    </row>
    <row r="480" ht="15.75" customHeight="1">
      <c r="C480" s="29"/>
      <c r="D480" s="30"/>
      <c r="F480" s="30"/>
      <c r="I480" s="29"/>
      <c r="J480" s="29"/>
      <c r="L480" s="29"/>
    </row>
    <row r="481" ht="15.75" customHeight="1">
      <c r="C481" s="29"/>
      <c r="D481" s="30"/>
      <c r="F481" s="30"/>
      <c r="I481" s="29"/>
      <c r="J481" s="29"/>
      <c r="L481" s="29"/>
    </row>
    <row r="482" ht="15.75" customHeight="1">
      <c r="C482" s="29"/>
      <c r="D482" s="30"/>
      <c r="F482" s="30"/>
      <c r="I482" s="29"/>
      <c r="J482" s="29"/>
      <c r="L482" s="29"/>
    </row>
    <row r="483" ht="15.75" customHeight="1">
      <c r="C483" s="29"/>
      <c r="D483" s="30"/>
      <c r="F483" s="30"/>
      <c r="I483" s="29"/>
      <c r="J483" s="29"/>
      <c r="L483" s="29"/>
    </row>
    <row r="484" ht="15.75" customHeight="1">
      <c r="C484" s="29"/>
      <c r="D484" s="30"/>
      <c r="F484" s="30"/>
      <c r="I484" s="29"/>
      <c r="J484" s="29"/>
      <c r="L484" s="29"/>
    </row>
    <row r="485" ht="15.75" customHeight="1">
      <c r="C485" s="29"/>
      <c r="D485" s="30"/>
      <c r="F485" s="30"/>
      <c r="I485" s="29"/>
      <c r="J485" s="29"/>
      <c r="L485" s="29"/>
    </row>
    <row r="486" ht="15.75" customHeight="1">
      <c r="C486" s="29"/>
      <c r="D486" s="30"/>
      <c r="F486" s="30"/>
      <c r="I486" s="29"/>
      <c r="J486" s="29"/>
      <c r="L486" s="29"/>
    </row>
    <row r="487" ht="15.75" customHeight="1">
      <c r="C487" s="29"/>
      <c r="D487" s="30"/>
      <c r="F487" s="30"/>
      <c r="I487" s="29"/>
      <c r="J487" s="29"/>
      <c r="L487" s="29"/>
    </row>
    <row r="488" ht="15.75" customHeight="1">
      <c r="C488" s="29"/>
      <c r="D488" s="30"/>
      <c r="F488" s="30"/>
      <c r="I488" s="29"/>
      <c r="J488" s="29"/>
      <c r="L488" s="29"/>
    </row>
    <row r="489" ht="15.75" customHeight="1">
      <c r="C489" s="29"/>
      <c r="D489" s="30"/>
      <c r="F489" s="30"/>
      <c r="I489" s="29"/>
      <c r="J489" s="29"/>
      <c r="L489" s="29"/>
    </row>
    <row r="490" ht="15.75" customHeight="1">
      <c r="C490" s="29"/>
      <c r="D490" s="30"/>
      <c r="F490" s="30"/>
      <c r="I490" s="29"/>
      <c r="J490" s="29"/>
      <c r="L490" s="29"/>
    </row>
    <row r="491" ht="15.75" customHeight="1">
      <c r="C491" s="29"/>
      <c r="D491" s="30"/>
      <c r="F491" s="30"/>
      <c r="I491" s="29"/>
      <c r="J491" s="29"/>
      <c r="L491" s="29"/>
    </row>
    <row r="492" ht="15.75" customHeight="1">
      <c r="C492" s="29"/>
      <c r="D492" s="30"/>
      <c r="F492" s="30"/>
      <c r="I492" s="29"/>
      <c r="J492" s="29"/>
      <c r="L492" s="29"/>
    </row>
    <row r="493" ht="15.75" customHeight="1">
      <c r="C493" s="29"/>
      <c r="D493" s="30"/>
      <c r="F493" s="30"/>
      <c r="I493" s="29"/>
      <c r="J493" s="29"/>
      <c r="L493" s="29"/>
    </row>
    <row r="494" ht="15.75" customHeight="1">
      <c r="C494" s="29"/>
      <c r="D494" s="30"/>
      <c r="F494" s="30"/>
      <c r="I494" s="29"/>
      <c r="J494" s="29"/>
      <c r="L494" s="29"/>
    </row>
    <row r="495" ht="15.75" customHeight="1">
      <c r="C495" s="29"/>
      <c r="D495" s="30"/>
      <c r="F495" s="30"/>
      <c r="I495" s="29"/>
      <c r="J495" s="29"/>
      <c r="L495" s="29"/>
    </row>
    <row r="496" ht="15.75" customHeight="1">
      <c r="C496" s="29"/>
      <c r="D496" s="30"/>
      <c r="F496" s="30"/>
      <c r="I496" s="29"/>
      <c r="J496" s="29"/>
      <c r="L496" s="29"/>
    </row>
    <row r="497" ht="15.75" customHeight="1">
      <c r="C497" s="29"/>
      <c r="D497" s="30"/>
      <c r="F497" s="30"/>
      <c r="I497" s="29"/>
      <c r="J497" s="29"/>
      <c r="L497" s="29"/>
    </row>
    <row r="498" ht="15.75" customHeight="1">
      <c r="C498" s="29"/>
      <c r="D498" s="30"/>
      <c r="F498" s="30"/>
      <c r="I498" s="29"/>
      <c r="J498" s="29"/>
      <c r="L498" s="29"/>
    </row>
    <row r="499" ht="15.75" customHeight="1">
      <c r="C499" s="29"/>
      <c r="D499" s="30"/>
      <c r="F499" s="30"/>
      <c r="I499" s="29"/>
      <c r="J499" s="29"/>
      <c r="L499" s="29"/>
    </row>
    <row r="500" ht="15.75" customHeight="1">
      <c r="C500" s="29"/>
      <c r="D500" s="30"/>
      <c r="F500" s="30"/>
      <c r="I500" s="29"/>
      <c r="J500" s="29"/>
      <c r="L500" s="29"/>
    </row>
    <row r="501" ht="15.75" customHeight="1">
      <c r="C501" s="29"/>
      <c r="D501" s="30"/>
      <c r="F501" s="30"/>
      <c r="I501" s="29"/>
      <c r="J501" s="29"/>
      <c r="L501" s="29"/>
    </row>
    <row r="502" ht="15.75" customHeight="1">
      <c r="C502" s="29"/>
      <c r="D502" s="30"/>
      <c r="F502" s="30"/>
      <c r="I502" s="29"/>
      <c r="J502" s="29"/>
      <c r="L502" s="29"/>
    </row>
    <row r="503" ht="15.75" customHeight="1">
      <c r="C503" s="29"/>
      <c r="D503" s="30"/>
      <c r="F503" s="30"/>
      <c r="I503" s="29"/>
      <c r="J503" s="29"/>
      <c r="L503" s="29"/>
    </row>
    <row r="504" ht="15.75" customHeight="1">
      <c r="C504" s="29"/>
      <c r="D504" s="30"/>
      <c r="F504" s="30"/>
      <c r="I504" s="29"/>
      <c r="J504" s="29"/>
      <c r="L504" s="29"/>
    </row>
    <row r="505" ht="15.75" customHeight="1">
      <c r="C505" s="29"/>
      <c r="D505" s="30"/>
      <c r="F505" s="30"/>
      <c r="I505" s="29"/>
      <c r="J505" s="29"/>
      <c r="L505" s="29"/>
    </row>
    <row r="506" ht="15.75" customHeight="1">
      <c r="C506" s="29"/>
      <c r="D506" s="30"/>
      <c r="F506" s="30"/>
      <c r="I506" s="29"/>
      <c r="J506" s="29"/>
      <c r="L506" s="29"/>
    </row>
    <row r="507" ht="15.75" customHeight="1">
      <c r="C507" s="29"/>
      <c r="D507" s="30"/>
      <c r="F507" s="30"/>
      <c r="I507" s="29"/>
      <c r="J507" s="29"/>
      <c r="L507" s="29"/>
    </row>
    <row r="508" ht="15.75" customHeight="1">
      <c r="C508" s="29"/>
      <c r="D508" s="30"/>
      <c r="F508" s="30"/>
      <c r="I508" s="29"/>
      <c r="J508" s="29"/>
      <c r="L508" s="29"/>
    </row>
    <row r="509" ht="15.75" customHeight="1">
      <c r="C509" s="29"/>
      <c r="D509" s="30"/>
      <c r="F509" s="30"/>
      <c r="I509" s="29"/>
      <c r="J509" s="29"/>
      <c r="L509" s="29"/>
    </row>
    <row r="510" ht="15.75" customHeight="1">
      <c r="C510" s="29"/>
      <c r="D510" s="30"/>
      <c r="F510" s="30"/>
      <c r="I510" s="29"/>
      <c r="J510" s="29"/>
      <c r="L510" s="29"/>
    </row>
    <row r="511" ht="15.75" customHeight="1">
      <c r="C511" s="29"/>
      <c r="D511" s="30"/>
      <c r="F511" s="30"/>
      <c r="I511" s="29"/>
      <c r="J511" s="29"/>
      <c r="L511" s="29"/>
    </row>
    <row r="512" ht="15.75" customHeight="1">
      <c r="C512" s="29"/>
      <c r="D512" s="30"/>
      <c r="F512" s="30"/>
      <c r="I512" s="29"/>
      <c r="J512" s="29"/>
      <c r="L512" s="29"/>
    </row>
    <row r="513" ht="15.75" customHeight="1">
      <c r="C513" s="29"/>
      <c r="D513" s="30"/>
      <c r="F513" s="30"/>
      <c r="I513" s="29"/>
      <c r="J513" s="29"/>
      <c r="L513" s="29"/>
    </row>
    <row r="514" ht="15.75" customHeight="1">
      <c r="C514" s="29"/>
      <c r="D514" s="30"/>
      <c r="F514" s="30"/>
      <c r="I514" s="29"/>
      <c r="J514" s="29"/>
      <c r="L514" s="29"/>
    </row>
    <row r="515" ht="15.75" customHeight="1">
      <c r="C515" s="29"/>
      <c r="D515" s="30"/>
      <c r="F515" s="30"/>
      <c r="I515" s="29"/>
      <c r="J515" s="29"/>
      <c r="L515" s="29"/>
    </row>
    <row r="516" ht="15.75" customHeight="1">
      <c r="C516" s="29"/>
      <c r="D516" s="30"/>
      <c r="F516" s="30"/>
      <c r="I516" s="29"/>
      <c r="J516" s="29"/>
      <c r="L516" s="29"/>
    </row>
    <row r="517" ht="15.75" customHeight="1">
      <c r="C517" s="29"/>
      <c r="D517" s="30"/>
      <c r="F517" s="30"/>
      <c r="I517" s="29"/>
      <c r="J517" s="29"/>
      <c r="L517" s="29"/>
    </row>
    <row r="518" ht="15.75" customHeight="1">
      <c r="C518" s="29"/>
      <c r="D518" s="30"/>
      <c r="F518" s="30"/>
      <c r="I518" s="29"/>
      <c r="J518" s="29"/>
      <c r="L518" s="29"/>
    </row>
    <row r="519" ht="15.75" customHeight="1">
      <c r="C519" s="29"/>
      <c r="D519" s="30"/>
      <c r="F519" s="30"/>
      <c r="I519" s="29"/>
      <c r="J519" s="29"/>
      <c r="L519" s="29"/>
    </row>
    <row r="520" ht="15.75" customHeight="1">
      <c r="C520" s="29"/>
      <c r="D520" s="30"/>
      <c r="F520" s="30"/>
      <c r="I520" s="29"/>
      <c r="J520" s="29"/>
      <c r="L520" s="29"/>
    </row>
    <row r="521" ht="15.75" customHeight="1">
      <c r="C521" s="29"/>
      <c r="D521" s="30"/>
      <c r="F521" s="30"/>
      <c r="I521" s="29"/>
      <c r="J521" s="29"/>
      <c r="L521" s="29"/>
    </row>
    <row r="522" ht="15.75" customHeight="1">
      <c r="C522" s="29"/>
      <c r="D522" s="30"/>
      <c r="F522" s="30"/>
      <c r="I522" s="29"/>
      <c r="J522" s="29"/>
      <c r="L522" s="29"/>
    </row>
    <row r="523" ht="15.75" customHeight="1">
      <c r="C523" s="29"/>
      <c r="D523" s="30"/>
      <c r="F523" s="30"/>
      <c r="I523" s="29"/>
      <c r="J523" s="29"/>
      <c r="L523" s="29"/>
    </row>
    <row r="524" ht="15.75" customHeight="1">
      <c r="C524" s="29"/>
      <c r="D524" s="30"/>
      <c r="F524" s="30"/>
      <c r="I524" s="29"/>
      <c r="J524" s="29"/>
      <c r="L524" s="29"/>
    </row>
    <row r="525" ht="15.75" customHeight="1">
      <c r="C525" s="29"/>
      <c r="D525" s="30"/>
      <c r="F525" s="30"/>
      <c r="I525" s="29"/>
      <c r="J525" s="29"/>
      <c r="L525" s="29"/>
    </row>
    <row r="526" ht="15.75" customHeight="1">
      <c r="C526" s="29"/>
      <c r="D526" s="30"/>
      <c r="F526" s="30"/>
      <c r="I526" s="29"/>
      <c r="J526" s="29"/>
      <c r="L526" s="29"/>
    </row>
    <row r="527" ht="15.75" customHeight="1">
      <c r="C527" s="29"/>
      <c r="D527" s="30"/>
      <c r="F527" s="30"/>
      <c r="I527" s="29"/>
      <c r="J527" s="29"/>
      <c r="L527" s="29"/>
    </row>
    <row r="528" ht="15.75" customHeight="1">
      <c r="C528" s="29"/>
      <c r="D528" s="30"/>
      <c r="F528" s="30"/>
      <c r="I528" s="29"/>
      <c r="J528" s="29"/>
      <c r="L528" s="29"/>
    </row>
    <row r="529" ht="15.75" customHeight="1">
      <c r="C529" s="29"/>
      <c r="D529" s="30"/>
      <c r="F529" s="30"/>
      <c r="I529" s="29"/>
      <c r="J529" s="29"/>
      <c r="L529" s="29"/>
    </row>
    <row r="530" ht="15.75" customHeight="1">
      <c r="C530" s="29"/>
      <c r="D530" s="30"/>
      <c r="F530" s="30"/>
      <c r="I530" s="29"/>
      <c r="J530" s="29"/>
      <c r="L530" s="29"/>
    </row>
    <row r="531" ht="15.75" customHeight="1">
      <c r="C531" s="29"/>
      <c r="D531" s="30"/>
      <c r="F531" s="30"/>
      <c r="I531" s="29"/>
      <c r="J531" s="29"/>
      <c r="L531" s="29"/>
    </row>
    <row r="532" ht="15.75" customHeight="1">
      <c r="C532" s="29"/>
      <c r="D532" s="30"/>
      <c r="F532" s="30"/>
      <c r="I532" s="29"/>
      <c r="J532" s="29"/>
      <c r="L532" s="29"/>
    </row>
    <row r="533" ht="15.75" customHeight="1">
      <c r="C533" s="29"/>
      <c r="D533" s="30"/>
      <c r="F533" s="30"/>
      <c r="I533" s="29"/>
      <c r="J533" s="29"/>
      <c r="L533" s="29"/>
    </row>
    <row r="534" ht="15.75" customHeight="1">
      <c r="C534" s="29"/>
      <c r="D534" s="30"/>
      <c r="F534" s="30"/>
      <c r="I534" s="29"/>
      <c r="J534" s="29"/>
      <c r="L534" s="29"/>
    </row>
    <row r="535" ht="15.75" customHeight="1">
      <c r="C535" s="29"/>
      <c r="D535" s="30"/>
      <c r="F535" s="30"/>
      <c r="I535" s="29"/>
      <c r="J535" s="29"/>
      <c r="L535" s="29"/>
    </row>
    <row r="536" ht="15.75" customHeight="1">
      <c r="C536" s="29"/>
      <c r="D536" s="30"/>
      <c r="F536" s="30"/>
      <c r="I536" s="29"/>
      <c r="J536" s="29"/>
      <c r="L536" s="29"/>
    </row>
    <row r="537" ht="15.75" customHeight="1">
      <c r="C537" s="29"/>
      <c r="D537" s="30"/>
      <c r="F537" s="30"/>
      <c r="I537" s="29"/>
      <c r="J537" s="29"/>
      <c r="L537" s="29"/>
    </row>
    <row r="538" ht="15.75" customHeight="1">
      <c r="C538" s="29"/>
      <c r="D538" s="30"/>
      <c r="F538" s="30"/>
      <c r="I538" s="29"/>
      <c r="J538" s="29"/>
      <c r="L538" s="29"/>
    </row>
    <row r="539" ht="15.75" customHeight="1">
      <c r="C539" s="29"/>
      <c r="D539" s="30"/>
      <c r="F539" s="30"/>
      <c r="I539" s="29"/>
      <c r="J539" s="29"/>
      <c r="L539" s="29"/>
    </row>
    <row r="540" ht="15.75" customHeight="1">
      <c r="C540" s="29"/>
      <c r="D540" s="30"/>
      <c r="F540" s="30"/>
      <c r="I540" s="29"/>
      <c r="J540" s="29"/>
      <c r="L540" s="29"/>
    </row>
    <row r="541" ht="15.75" customHeight="1">
      <c r="C541" s="29"/>
      <c r="D541" s="30"/>
      <c r="F541" s="30"/>
      <c r="I541" s="29"/>
      <c r="J541" s="29"/>
      <c r="L541" s="29"/>
    </row>
    <row r="542" ht="15.75" customHeight="1">
      <c r="C542" s="29"/>
      <c r="D542" s="30"/>
      <c r="F542" s="30"/>
      <c r="I542" s="29"/>
      <c r="J542" s="29"/>
      <c r="L542" s="29"/>
    </row>
    <row r="543" ht="15.75" customHeight="1">
      <c r="C543" s="29"/>
      <c r="D543" s="30"/>
      <c r="F543" s="30"/>
      <c r="I543" s="29"/>
      <c r="J543" s="29"/>
      <c r="L543" s="29"/>
    </row>
    <row r="544" ht="15.75" customHeight="1">
      <c r="C544" s="29"/>
      <c r="D544" s="30"/>
      <c r="F544" s="30"/>
      <c r="I544" s="29"/>
      <c r="J544" s="29"/>
      <c r="L544" s="29"/>
    </row>
    <row r="545" ht="15.75" customHeight="1">
      <c r="C545" s="29"/>
      <c r="D545" s="30"/>
      <c r="F545" s="30"/>
      <c r="I545" s="29"/>
      <c r="J545" s="29"/>
      <c r="L545" s="29"/>
    </row>
    <row r="546" ht="15.75" customHeight="1">
      <c r="C546" s="29"/>
      <c r="D546" s="30"/>
      <c r="F546" s="30"/>
      <c r="I546" s="29"/>
      <c r="J546" s="29"/>
      <c r="L546" s="29"/>
    </row>
    <row r="547" ht="15.75" customHeight="1">
      <c r="C547" s="29"/>
      <c r="D547" s="30"/>
      <c r="F547" s="30"/>
      <c r="I547" s="29"/>
      <c r="J547" s="29"/>
      <c r="L547" s="29"/>
    </row>
    <row r="548" ht="15.75" customHeight="1">
      <c r="C548" s="29"/>
      <c r="D548" s="30"/>
      <c r="F548" s="30"/>
      <c r="I548" s="29"/>
      <c r="J548" s="29"/>
      <c r="L548" s="29"/>
    </row>
    <row r="549" ht="15.75" customHeight="1">
      <c r="C549" s="29"/>
      <c r="D549" s="30"/>
      <c r="F549" s="30"/>
      <c r="I549" s="29"/>
      <c r="J549" s="29"/>
      <c r="L549" s="29"/>
    </row>
    <row r="550" ht="15.75" customHeight="1">
      <c r="C550" s="29"/>
      <c r="D550" s="30"/>
      <c r="F550" s="30"/>
      <c r="I550" s="29"/>
      <c r="J550" s="29"/>
      <c r="L550" s="29"/>
    </row>
    <row r="551" ht="15.75" customHeight="1">
      <c r="C551" s="29"/>
      <c r="D551" s="30"/>
      <c r="F551" s="30"/>
      <c r="I551" s="29"/>
      <c r="J551" s="29"/>
      <c r="L551" s="29"/>
    </row>
    <row r="552" ht="15.75" customHeight="1">
      <c r="C552" s="29"/>
      <c r="D552" s="30"/>
      <c r="F552" s="30"/>
      <c r="I552" s="29"/>
      <c r="J552" s="29"/>
      <c r="L552" s="29"/>
    </row>
    <row r="553" ht="15.75" customHeight="1">
      <c r="C553" s="29"/>
      <c r="D553" s="30"/>
      <c r="F553" s="30"/>
      <c r="I553" s="29"/>
      <c r="J553" s="29"/>
      <c r="L553" s="29"/>
    </row>
    <row r="554" ht="15.75" customHeight="1">
      <c r="C554" s="29"/>
      <c r="D554" s="30"/>
      <c r="F554" s="30"/>
      <c r="I554" s="29"/>
      <c r="J554" s="29"/>
      <c r="L554" s="29"/>
    </row>
    <row r="555" ht="15.75" customHeight="1">
      <c r="C555" s="29"/>
      <c r="D555" s="30"/>
      <c r="F555" s="30"/>
      <c r="I555" s="29"/>
      <c r="J555" s="29"/>
      <c r="L555" s="29"/>
    </row>
    <row r="556" ht="15.75" customHeight="1">
      <c r="C556" s="29"/>
      <c r="D556" s="30"/>
      <c r="F556" s="30"/>
      <c r="I556" s="29"/>
      <c r="J556" s="29"/>
      <c r="L556" s="29"/>
    </row>
    <row r="557" ht="15.75" customHeight="1">
      <c r="C557" s="29"/>
      <c r="D557" s="30"/>
      <c r="F557" s="30"/>
      <c r="I557" s="29"/>
      <c r="J557" s="29"/>
      <c r="L557" s="29"/>
    </row>
    <row r="558" ht="15.75" customHeight="1">
      <c r="C558" s="29"/>
      <c r="D558" s="30"/>
      <c r="F558" s="30"/>
      <c r="I558" s="29"/>
      <c r="J558" s="29"/>
      <c r="L558" s="29"/>
    </row>
    <row r="559" ht="15.75" customHeight="1">
      <c r="C559" s="29"/>
      <c r="D559" s="30"/>
      <c r="F559" s="30"/>
      <c r="I559" s="29"/>
      <c r="J559" s="29"/>
      <c r="L559" s="29"/>
    </row>
    <row r="560" ht="15.75" customHeight="1">
      <c r="C560" s="29"/>
      <c r="D560" s="30"/>
      <c r="F560" s="30"/>
      <c r="I560" s="29"/>
      <c r="J560" s="29"/>
      <c r="L560" s="29"/>
    </row>
    <row r="561" ht="15.75" customHeight="1">
      <c r="C561" s="29"/>
      <c r="D561" s="30"/>
      <c r="F561" s="30"/>
      <c r="I561" s="29"/>
      <c r="J561" s="29"/>
      <c r="L561" s="29"/>
    </row>
    <row r="562" ht="15.75" customHeight="1">
      <c r="C562" s="29"/>
      <c r="D562" s="30"/>
      <c r="F562" s="30"/>
      <c r="I562" s="29"/>
      <c r="J562" s="29"/>
      <c r="L562" s="29"/>
    </row>
    <row r="563" ht="15.75" customHeight="1">
      <c r="C563" s="29"/>
      <c r="D563" s="30"/>
      <c r="F563" s="30"/>
      <c r="I563" s="29"/>
      <c r="J563" s="29"/>
      <c r="L563" s="29"/>
    </row>
    <row r="564" ht="15.75" customHeight="1">
      <c r="C564" s="29"/>
      <c r="D564" s="30"/>
      <c r="F564" s="30"/>
      <c r="I564" s="29"/>
      <c r="J564" s="29"/>
      <c r="L564" s="29"/>
    </row>
    <row r="565" ht="15.75" customHeight="1">
      <c r="C565" s="29"/>
      <c r="D565" s="30"/>
      <c r="F565" s="30"/>
      <c r="I565" s="29"/>
      <c r="J565" s="29"/>
      <c r="L565" s="29"/>
    </row>
    <row r="566" ht="15.75" customHeight="1">
      <c r="C566" s="29"/>
      <c r="D566" s="30"/>
      <c r="F566" s="30"/>
      <c r="I566" s="29"/>
      <c r="J566" s="29"/>
      <c r="L566" s="29"/>
    </row>
    <row r="567" ht="15.75" customHeight="1">
      <c r="C567" s="29"/>
      <c r="D567" s="30"/>
      <c r="F567" s="30"/>
      <c r="I567" s="29"/>
      <c r="J567" s="29"/>
      <c r="L567" s="29"/>
    </row>
    <row r="568" ht="15.75" customHeight="1">
      <c r="C568" s="29"/>
      <c r="D568" s="30"/>
      <c r="F568" s="30"/>
      <c r="I568" s="29"/>
      <c r="J568" s="29"/>
      <c r="L568" s="29"/>
    </row>
    <row r="569" ht="15.75" customHeight="1">
      <c r="C569" s="29"/>
      <c r="D569" s="30"/>
      <c r="F569" s="30"/>
      <c r="I569" s="29"/>
      <c r="J569" s="29"/>
      <c r="L569" s="29"/>
    </row>
    <row r="570" ht="15.75" customHeight="1">
      <c r="C570" s="29"/>
      <c r="D570" s="30"/>
      <c r="F570" s="30"/>
      <c r="I570" s="29"/>
      <c r="J570" s="29"/>
      <c r="L570" s="29"/>
    </row>
    <row r="571" ht="15.75" customHeight="1">
      <c r="C571" s="29"/>
      <c r="D571" s="30"/>
      <c r="F571" s="30"/>
      <c r="I571" s="29"/>
      <c r="J571" s="29"/>
      <c r="L571" s="29"/>
    </row>
    <row r="572" ht="15.75" customHeight="1">
      <c r="C572" s="29"/>
      <c r="D572" s="30"/>
      <c r="F572" s="30"/>
      <c r="I572" s="29"/>
      <c r="J572" s="29"/>
      <c r="L572" s="29"/>
    </row>
    <row r="573" ht="15.75" customHeight="1">
      <c r="C573" s="29"/>
      <c r="D573" s="30"/>
      <c r="F573" s="30"/>
      <c r="I573" s="29"/>
      <c r="J573" s="29"/>
      <c r="L573" s="29"/>
    </row>
    <row r="574" ht="15.75" customHeight="1">
      <c r="C574" s="29"/>
      <c r="D574" s="30"/>
      <c r="F574" s="30"/>
      <c r="I574" s="29"/>
      <c r="J574" s="29"/>
      <c r="L574" s="29"/>
    </row>
    <row r="575" ht="15.75" customHeight="1">
      <c r="C575" s="29"/>
      <c r="D575" s="30"/>
      <c r="F575" s="30"/>
      <c r="I575" s="29"/>
      <c r="J575" s="29"/>
      <c r="L575" s="29"/>
    </row>
    <row r="576" ht="15.75" customHeight="1">
      <c r="C576" s="29"/>
      <c r="D576" s="30"/>
      <c r="F576" s="30"/>
      <c r="I576" s="29"/>
      <c r="J576" s="29"/>
      <c r="L576" s="29"/>
    </row>
    <row r="577" ht="15.75" customHeight="1">
      <c r="C577" s="29"/>
      <c r="D577" s="30"/>
      <c r="F577" s="30"/>
      <c r="I577" s="29"/>
      <c r="J577" s="29"/>
      <c r="L577" s="29"/>
    </row>
    <row r="578" ht="15.75" customHeight="1">
      <c r="C578" s="29"/>
      <c r="D578" s="30"/>
      <c r="F578" s="30"/>
      <c r="I578" s="29"/>
      <c r="J578" s="29"/>
      <c r="L578" s="29"/>
    </row>
    <row r="579" ht="15.75" customHeight="1">
      <c r="C579" s="29"/>
      <c r="D579" s="30"/>
      <c r="F579" s="30"/>
      <c r="I579" s="29"/>
      <c r="J579" s="29"/>
      <c r="L579" s="29"/>
    </row>
    <row r="580" ht="15.75" customHeight="1">
      <c r="C580" s="29"/>
      <c r="D580" s="30"/>
      <c r="F580" s="30"/>
      <c r="I580" s="29"/>
      <c r="J580" s="29"/>
      <c r="L580" s="29"/>
    </row>
    <row r="581" ht="15.75" customHeight="1">
      <c r="C581" s="29"/>
      <c r="D581" s="30"/>
      <c r="F581" s="30"/>
      <c r="I581" s="29"/>
      <c r="J581" s="29"/>
      <c r="L581" s="29"/>
    </row>
    <row r="582" ht="15.75" customHeight="1">
      <c r="C582" s="29"/>
      <c r="D582" s="30"/>
      <c r="F582" s="30"/>
      <c r="I582" s="29"/>
      <c r="J582" s="29"/>
      <c r="L582" s="29"/>
    </row>
    <row r="583" ht="15.75" customHeight="1">
      <c r="C583" s="29"/>
      <c r="D583" s="30"/>
      <c r="F583" s="30"/>
      <c r="I583" s="29"/>
      <c r="J583" s="29"/>
      <c r="L583" s="29"/>
    </row>
    <row r="584" ht="15.75" customHeight="1">
      <c r="C584" s="29"/>
      <c r="D584" s="30"/>
      <c r="F584" s="30"/>
      <c r="I584" s="29"/>
      <c r="J584" s="29"/>
      <c r="L584" s="29"/>
    </row>
    <row r="585" ht="15.75" customHeight="1">
      <c r="C585" s="29"/>
      <c r="D585" s="30"/>
      <c r="F585" s="30"/>
      <c r="I585" s="29"/>
      <c r="J585" s="29"/>
      <c r="L585" s="29"/>
    </row>
    <row r="586" ht="15.75" customHeight="1">
      <c r="C586" s="29"/>
      <c r="D586" s="30"/>
      <c r="F586" s="30"/>
      <c r="I586" s="29"/>
      <c r="J586" s="29"/>
      <c r="L586" s="29"/>
    </row>
    <row r="587" ht="15.75" customHeight="1">
      <c r="C587" s="29"/>
      <c r="D587" s="30"/>
      <c r="F587" s="30"/>
      <c r="I587" s="29"/>
      <c r="J587" s="29"/>
      <c r="L587" s="29"/>
    </row>
    <row r="588" ht="15.75" customHeight="1">
      <c r="C588" s="29"/>
      <c r="D588" s="30"/>
      <c r="F588" s="30"/>
      <c r="I588" s="29"/>
      <c r="J588" s="29"/>
      <c r="L588" s="29"/>
    </row>
    <row r="589" ht="15.75" customHeight="1">
      <c r="C589" s="29"/>
      <c r="D589" s="30"/>
      <c r="F589" s="30"/>
      <c r="I589" s="29"/>
      <c r="J589" s="29"/>
      <c r="L589" s="29"/>
    </row>
    <row r="590" ht="15.75" customHeight="1">
      <c r="C590" s="29"/>
      <c r="D590" s="30"/>
      <c r="F590" s="30"/>
      <c r="I590" s="29"/>
      <c r="J590" s="29"/>
      <c r="L590" s="29"/>
    </row>
    <row r="591" ht="15.75" customHeight="1">
      <c r="C591" s="29"/>
      <c r="D591" s="30"/>
      <c r="F591" s="30"/>
      <c r="I591" s="29"/>
      <c r="J591" s="29"/>
      <c r="L591" s="29"/>
    </row>
    <row r="592" ht="15.75" customHeight="1">
      <c r="C592" s="29"/>
      <c r="D592" s="30"/>
      <c r="F592" s="30"/>
      <c r="I592" s="29"/>
      <c r="J592" s="29"/>
      <c r="L592" s="29"/>
    </row>
    <row r="593" ht="15.75" customHeight="1">
      <c r="C593" s="29"/>
      <c r="D593" s="30"/>
      <c r="F593" s="30"/>
      <c r="I593" s="29"/>
      <c r="J593" s="29"/>
      <c r="L593" s="29"/>
    </row>
    <row r="594" ht="15.75" customHeight="1">
      <c r="C594" s="29"/>
      <c r="D594" s="30"/>
      <c r="F594" s="30"/>
      <c r="I594" s="29"/>
      <c r="J594" s="29"/>
      <c r="L594" s="29"/>
    </row>
    <row r="595" ht="15.75" customHeight="1">
      <c r="C595" s="29"/>
      <c r="D595" s="30"/>
      <c r="F595" s="30"/>
      <c r="I595" s="29"/>
      <c r="J595" s="29"/>
      <c r="L595" s="29"/>
    </row>
    <row r="596" ht="15.75" customHeight="1">
      <c r="C596" s="29"/>
      <c r="D596" s="30"/>
      <c r="F596" s="30"/>
      <c r="I596" s="29"/>
      <c r="J596" s="29"/>
      <c r="L596" s="29"/>
    </row>
    <row r="597" ht="15.75" customHeight="1">
      <c r="C597" s="29"/>
      <c r="D597" s="30"/>
      <c r="F597" s="30"/>
      <c r="I597" s="29"/>
      <c r="J597" s="29"/>
      <c r="L597" s="29"/>
    </row>
    <row r="598" ht="15.75" customHeight="1">
      <c r="C598" s="29"/>
      <c r="D598" s="30"/>
      <c r="F598" s="30"/>
      <c r="I598" s="29"/>
      <c r="J598" s="29"/>
      <c r="L598" s="29"/>
    </row>
    <row r="599" ht="15.75" customHeight="1">
      <c r="C599" s="29"/>
      <c r="D599" s="30"/>
      <c r="F599" s="30"/>
      <c r="I599" s="29"/>
      <c r="J599" s="29"/>
      <c r="L599" s="29"/>
    </row>
    <row r="600" ht="15.75" customHeight="1">
      <c r="C600" s="29"/>
      <c r="D600" s="30"/>
      <c r="F600" s="30"/>
      <c r="I600" s="29"/>
      <c r="J600" s="29"/>
      <c r="L600" s="29"/>
    </row>
    <row r="601" ht="15.75" customHeight="1">
      <c r="C601" s="29"/>
      <c r="D601" s="30"/>
      <c r="F601" s="30"/>
      <c r="I601" s="29"/>
      <c r="J601" s="29"/>
      <c r="L601" s="29"/>
    </row>
    <row r="602" ht="15.75" customHeight="1">
      <c r="C602" s="29"/>
      <c r="D602" s="30"/>
      <c r="F602" s="30"/>
      <c r="I602" s="29"/>
      <c r="J602" s="29"/>
      <c r="L602" s="29"/>
    </row>
    <row r="603" ht="15.75" customHeight="1">
      <c r="C603" s="29"/>
      <c r="D603" s="30"/>
      <c r="F603" s="30"/>
      <c r="I603" s="29"/>
      <c r="J603" s="29"/>
      <c r="L603" s="29"/>
    </row>
    <row r="604" ht="15.75" customHeight="1">
      <c r="C604" s="29"/>
      <c r="D604" s="30"/>
      <c r="F604" s="30"/>
      <c r="I604" s="29"/>
      <c r="J604" s="29"/>
      <c r="L604" s="29"/>
    </row>
    <row r="605" ht="15.75" customHeight="1">
      <c r="C605" s="29"/>
      <c r="D605" s="30"/>
      <c r="F605" s="30"/>
      <c r="I605" s="29"/>
      <c r="J605" s="29"/>
      <c r="L605" s="29"/>
    </row>
    <row r="606" ht="15.75" customHeight="1">
      <c r="C606" s="29"/>
      <c r="D606" s="30"/>
      <c r="F606" s="30"/>
      <c r="I606" s="29"/>
      <c r="J606" s="29"/>
      <c r="L606" s="29"/>
    </row>
    <row r="607" ht="15.75" customHeight="1">
      <c r="C607" s="29"/>
      <c r="D607" s="30"/>
      <c r="F607" s="30"/>
      <c r="I607" s="29"/>
      <c r="J607" s="29"/>
      <c r="L607" s="29"/>
    </row>
    <row r="608" ht="15.75" customHeight="1">
      <c r="C608" s="29"/>
      <c r="D608" s="30"/>
      <c r="F608" s="30"/>
      <c r="I608" s="29"/>
      <c r="J608" s="29"/>
      <c r="L608" s="29"/>
    </row>
    <row r="609" ht="15.75" customHeight="1">
      <c r="C609" s="29"/>
      <c r="D609" s="30"/>
      <c r="F609" s="30"/>
      <c r="I609" s="29"/>
      <c r="J609" s="29"/>
      <c r="L609" s="29"/>
    </row>
    <row r="610" ht="15.75" customHeight="1">
      <c r="C610" s="29"/>
      <c r="D610" s="30"/>
      <c r="F610" s="30"/>
      <c r="I610" s="29"/>
      <c r="J610" s="29"/>
      <c r="L610" s="29"/>
    </row>
    <row r="611" ht="15.75" customHeight="1">
      <c r="C611" s="29"/>
      <c r="D611" s="30"/>
      <c r="F611" s="30"/>
      <c r="I611" s="29"/>
      <c r="J611" s="29"/>
      <c r="L611" s="29"/>
    </row>
    <row r="612" ht="15.75" customHeight="1">
      <c r="C612" s="29"/>
      <c r="D612" s="30"/>
      <c r="F612" s="30"/>
      <c r="I612" s="29"/>
      <c r="J612" s="29"/>
      <c r="L612" s="29"/>
    </row>
    <row r="613" ht="15.75" customHeight="1">
      <c r="C613" s="29"/>
      <c r="D613" s="30"/>
      <c r="F613" s="30"/>
      <c r="I613" s="29"/>
      <c r="J613" s="29"/>
      <c r="L613" s="29"/>
    </row>
    <row r="614" ht="15.75" customHeight="1">
      <c r="C614" s="29"/>
      <c r="D614" s="30"/>
      <c r="F614" s="30"/>
      <c r="I614" s="29"/>
      <c r="J614" s="29"/>
      <c r="L614" s="29"/>
    </row>
    <row r="615" ht="15.75" customHeight="1">
      <c r="C615" s="29"/>
      <c r="D615" s="30"/>
      <c r="F615" s="30"/>
      <c r="I615" s="29"/>
      <c r="J615" s="29"/>
      <c r="L615" s="29"/>
    </row>
    <row r="616" ht="15.75" customHeight="1">
      <c r="C616" s="29"/>
      <c r="D616" s="30"/>
      <c r="F616" s="30"/>
      <c r="I616" s="29"/>
      <c r="J616" s="29"/>
      <c r="L616" s="29"/>
    </row>
    <row r="617" ht="15.75" customHeight="1">
      <c r="C617" s="29"/>
      <c r="D617" s="30"/>
      <c r="F617" s="30"/>
      <c r="I617" s="29"/>
      <c r="J617" s="29"/>
      <c r="L617" s="29"/>
    </row>
    <row r="618" ht="15.75" customHeight="1">
      <c r="C618" s="29"/>
      <c r="D618" s="30"/>
      <c r="F618" s="30"/>
      <c r="I618" s="29"/>
      <c r="J618" s="29"/>
      <c r="L618" s="29"/>
    </row>
    <row r="619" ht="15.75" customHeight="1">
      <c r="C619" s="29"/>
      <c r="D619" s="30"/>
      <c r="F619" s="30"/>
      <c r="I619" s="29"/>
      <c r="J619" s="29"/>
      <c r="L619" s="29"/>
    </row>
    <row r="620" ht="15.75" customHeight="1">
      <c r="C620" s="29"/>
      <c r="D620" s="30"/>
      <c r="F620" s="30"/>
      <c r="I620" s="29"/>
      <c r="J620" s="29"/>
      <c r="L620" s="29"/>
    </row>
    <row r="621" ht="15.75" customHeight="1">
      <c r="C621" s="29"/>
      <c r="D621" s="30"/>
      <c r="F621" s="30"/>
      <c r="I621" s="29"/>
      <c r="J621" s="29"/>
      <c r="L621" s="29"/>
    </row>
    <row r="622" ht="15.75" customHeight="1">
      <c r="C622" s="29"/>
      <c r="D622" s="30"/>
      <c r="F622" s="30"/>
      <c r="I622" s="29"/>
      <c r="J622" s="29"/>
      <c r="L622" s="29"/>
    </row>
    <row r="623" ht="15.75" customHeight="1">
      <c r="C623" s="29"/>
      <c r="D623" s="30"/>
      <c r="F623" s="30"/>
      <c r="I623" s="29"/>
      <c r="J623" s="29"/>
      <c r="L623" s="29"/>
    </row>
    <row r="624" ht="15.75" customHeight="1">
      <c r="C624" s="29"/>
      <c r="D624" s="30"/>
      <c r="F624" s="30"/>
      <c r="I624" s="29"/>
      <c r="J624" s="29"/>
      <c r="L624" s="29"/>
    </row>
    <row r="625" ht="15.75" customHeight="1">
      <c r="C625" s="29"/>
      <c r="D625" s="30"/>
      <c r="F625" s="30"/>
      <c r="I625" s="29"/>
      <c r="J625" s="29"/>
      <c r="L625" s="29"/>
    </row>
    <row r="626" ht="15.75" customHeight="1">
      <c r="C626" s="29"/>
      <c r="D626" s="30"/>
      <c r="F626" s="30"/>
      <c r="I626" s="29"/>
      <c r="J626" s="29"/>
      <c r="L626" s="29"/>
    </row>
    <row r="627" ht="15.75" customHeight="1">
      <c r="C627" s="29"/>
      <c r="D627" s="30"/>
      <c r="F627" s="30"/>
      <c r="I627" s="29"/>
      <c r="J627" s="29"/>
      <c r="L627" s="29"/>
    </row>
    <row r="628" ht="15.75" customHeight="1">
      <c r="C628" s="29"/>
      <c r="D628" s="30"/>
      <c r="F628" s="30"/>
      <c r="I628" s="29"/>
      <c r="J628" s="29"/>
      <c r="L628" s="29"/>
    </row>
    <row r="629" ht="15.75" customHeight="1">
      <c r="C629" s="29"/>
      <c r="D629" s="30"/>
      <c r="F629" s="30"/>
      <c r="I629" s="29"/>
      <c r="J629" s="29"/>
      <c r="L629" s="29"/>
    </row>
    <row r="630" ht="15.75" customHeight="1">
      <c r="C630" s="29"/>
      <c r="D630" s="30"/>
      <c r="F630" s="30"/>
      <c r="I630" s="29"/>
      <c r="J630" s="29"/>
      <c r="L630" s="29"/>
    </row>
    <row r="631" ht="15.75" customHeight="1">
      <c r="C631" s="29"/>
      <c r="D631" s="30"/>
      <c r="F631" s="30"/>
      <c r="I631" s="29"/>
      <c r="J631" s="29"/>
      <c r="L631" s="29"/>
    </row>
    <row r="632" ht="15.75" customHeight="1">
      <c r="C632" s="29"/>
      <c r="D632" s="30"/>
      <c r="F632" s="30"/>
      <c r="I632" s="29"/>
      <c r="J632" s="29"/>
      <c r="L632" s="29"/>
    </row>
    <row r="633" ht="15.75" customHeight="1">
      <c r="C633" s="29"/>
      <c r="D633" s="30"/>
      <c r="F633" s="30"/>
      <c r="I633" s="29"/>
      <c r="J633" s="29"/>
      <c r="L633" s="29"/>
    </row>
    <row r="634" ht="15.75" customHeight="1">
      <c r="C634" s="29"/>
      <c r="D634" s="30"/>
      <c r="F634" s="30"/>
      <c r="I634" s="29"/>
      <c r="J634" s="29"/>
      <c r="L634" s="29"/>
    </row>
    <row r="635" ht="15.75" customHeight="1">
      <c r="C635" s="29"/>
      <c r="D635" s="30"/>
      <c r="F635" s="30"/>
      <c r="I635" s="29"/>
      <c r="J635" s="29"/>
      <c r="L635" s="29"/>
    </row>
    <row r="636" ht="15.75" customHeight="1">
      <c r="C636" s="29"/>
      <c r="D636" s="30"/>
      <c r="F636" s="30"/>
      <c r="I636" s="29"/>
      <c r="J636" s="29"/>
      <c r="L636" s="29"/>
    </row>
    <row r="637" ht="15.75" customHeight="1">
      <c r="C637" s="29"/>
      <c r="D637" s="30"/>
      <c r="F637" s="30"/>
      <c r="I637" s="29"/>
      <c r="J637" s="29"/>
      <c r="L637" s="29"/>
    </row>
    <row r="638" ht="15.75" customHeight="1">
      <c r="C638" s="29"/>
      <c r="D638" s="30"/>
      <c r="F638" s="30"/>
      <c r="I638" s="29"/>
      <c r="J638" s="29"/>
      <c r="L638" s="29"/>
    </row>
    <row r="639" ht="15.75" customHeight="1">
      <c r="C639" s="29"/>
      <c r="D639" s="30"/>
      <c r="F639" s="30"/>
      <c r="I639" s="29"/>
      <c r="J639" s="29"/>
      <c r="L639" s="29"/>
    </row>
    <row r="640" ht="15.75" customHeight="1">
      <c r="C640" s="29"/>
      <c r="D640" s="30"/>
      <c r="F640" s="30"/>
      <c r="I640" s="29"/>
      <c r="J640" s="29"/>
      <c r="L640" s="29"/>
    </row>
    <row r="641" ht="15.75" customHeight="1">
      <c r="C641" s="29"/>
      <c r="D641" s="30"/>
      <c r="F641" s="30"/>
      <c r="I641" s="29"/>
      <c r="J641" s="29"/>
      <c r="L641" s="29"/>
    </row>
    <row r="642" ht="15.75" customHeight="1">
      <c r="C642" s="29"/>
      <c r="D642" s="30"/>
      <c r="F642" s="30"/>
      <c r="I642" s="29"/>
      <c r="J642" s="29"/>
      <c r="L642" s="29"/>
    </row>
    <row r="643" ht="15.75" customHeight="1">
      <c r="C643" s="29"/>
      <c r="D643" s="30"/>
      <c r="F643" s="30"/>
      <c r="I643" s="29"/>
      <c r="J643" s="29"/>
      <c r="L643" s="29"/>
    </row>
    <row r="644" ht="15.75" customHeight="1">
      <c r="C644" s="29"/>
      <c r="D644" s="30"/>
      <c r="F644" s="30"/>
      <c r="I644" s="29"/>
      <c r="J644" s="29"/>
      <c r="L644" s="29"/>
    </row>
    <row r="645" ht="15.75" customHeight="1">
      <c r="C645" s="29"/>
      <c r="D645" s="30"/>
      <c r="F645" s="30"/>
      <c r="I645" s="29"/>
      <c r="J645" s="29"/>
      <c r="L645" s="29"/>
    </row>
    <row r="646" ht="15.75" customHeight="1">
      <c r="C646" s="29"/>
      <c r="D646" s="30"/>
      <c r="F646" s="30"/>
      <c r="I646" s="29"/>
      <c r="J646" s="29"/>
      <c r="L646" s="29"/>
    </row>
    <row r="647" ht="15.75" customHeight="1">
      <c r="C647" s="29"/>
      <c r="D647" s="30"/>
      <c r="F647" s="30"/>
      <c r="I647" s="29"/>
      <c r="J647" s="29"/>
      <c r="L647" s="29"/>
    </row>
    <row r="648" ht="15.75" customHeight="1">
      <c r="C648" s="29"/>
      <c r="D648" s="30"/>
      <c r="F648" s="30"/>
      <c r="I648" s="29"/>
      <c r="J648" s="29"/>
      <c r="L648" s="29"/>
    </row>
    <row r="649" ht="15.75" customHeight="1">
      <c r="C649" s="29"/>
      <c r="D649" s="30"/>
      <c r="F649" s="30"/>
      <c r="I649" s="29"/>
      <c r="J649" s="29"/>
      <c r="L649" s="29"/>
    </row>
    <row r="650" ht="15.75" customHeight="1">
      <c r="C650" s="29"/>
      <c r="D650" s="30"/>
      <c r="F650" s="30"/>
      <c r="I650" s="29"/>
      <c r="J650" s="29"/>
      <c r="L650" s="29"/>
    </row>
    <row r="651" ht="15.75" customHeight="1">
      <c r="C651" s="29"/>
      <c r="D651" s="30"/>
      <c r="F651" s="30"/>
      <c r="I651" s="29"/>
      <c r="J651" s="29"/>
      <c r="L651" s="29"/>
    </row>
    <row r="652" ht="15.75" customHeight="1">
      <c r="C652" s="29"/>
      <c r="D652" s="30"/>
      <c r="F652" s="30"/>
      <c r="I652" s="29"/>
      <c r="J652" s="29"/>
      <c r="L652" s="29"/>
    </row>
    <row r="653" ht="15.75" customHeight="1">
      <c r="C653" s="29"/>
      <c r="D653" s="30"/>
      <c r="F653" s="30"/>
      <c r="I653" s="29"/>
      <c r="J653" s="29"/>
      <c r="L653" s="29"/>
    </row>
    <row r="654" ht="15.75" customHeight="1">
      <c r="C654" s="29"/>
      <c r="D654" s="30"/>
      <c r="F654" s="30"/>
      <c r="I654" s="29"/>
      <c r="J654" s="29"/>
      <c r="L654" s="29"/>
    </row>
    <row r="655" ht="15.75" customHeight="1">
      <c r="C655" s="29"/>
      <c r="D655" s="30"/>
      <c r="F655" s="30"/>
      <c r="I655" s="29"/>
      <c r="J655" s="29"/>
      <c r="L655" s="29"/>
    </row>
    <row r="656" ht="15.75" customHeight="1">
      <c r="C656" s="29"/>
      <c r="D656" s="30"/>
      <c r="F656" s="30"/>
      <c r="I656" s="29"/>
      <c r="J656" s="29"/>
      <c r="L656" s="29"/>
    </row>
    <row r="657" ht="15.75" customHeight="1">
      <c r="C657" s="29"/>
      <c r="D657" s="30"/>
      <c r="F657" s="30"/>
      <c r="I657" s="29"/>
      <c r="J657" s="29"/>
      <c r="L657" s="29"/>
    </row>
    <row r="658" ht="15.75" customHeight="1">
      <c r="C658" s="29"/>
      <c r="D658" s="30"/>
      <c r="F658" s="30"/>
      <c r="I658" s="29"/>
      <c r="J658" s="29"/>
      <c r="L658" s="29"/>
    </row>
    <row r="659" ht="15.75" customHeight="1">
      <c r="C659" s="29"/>
      <c r="D659" s="30"/>
      <c r="F659" s="30"/>
      <c r="I659" s="29"/>
      <c r="J659" s="29"/>
      <c r="L659" s="29"/>
    </row>
    <row r="660" ht="15.75" customHeight="1">
      <c r="C660" s="29"/>
      <c r="D660" s="30"/>
      <c r="F660" s="30"/>
      <c r="I660" s="29"/>
      <c r="J660" s="29"/>
      <c r="L660" s="29"/>
    </row>
    <row r="661" ht="15.75" customHeight="1">
      <c r="C661" s="29"/>
      <c r="D661" s="30"/>
      <c r="F661" s="30"/>
      <c r="I661" s="29"/>
      <c r="J661" s="29"/>
      <c r="L661" s="29"/>
    </row>
    <row r="662" ht="15.75" customHeight="1">
      <c r="C662" s="29"/>
      <c r="D662" s="30"/>
      <c r="F662" s="30"/>
      <c r="I662" s="29"/>
      <c r="J662" s="29"/>
      <c r="L662" s="29"/>
    </row>
    <row r="663" ht="15.75" customHeight="1">
      <c r="C663" s="29"/>
      <c r="D663" s="30"/>
      <c r="F663" s="30"/>
      <c r="I663" s="29"/>
      <c r="J663" s="29"/>
      <c r="L663" s="29"/>
    </row>
    <row r="664" ht="15.75" customHeight="1">
      <c r="C664" s="29"/>
      <c r="D664" s="30"/>
      <c r="F664" s="30"/>
      <c r="I664" s="29"/>
      <c r="J664" s="29"/>
      <c r="L664" s="29"/>
    </row>
    <row r="665" ht="15.75" customHeight="1">
      <c r="C665" s="29"/>
      <c r="D665" s="30"/>
      <c r="F665" s="30"/>
      <c r="I665" s="29"/>
      <c r="J665" s="29"/>
      <c r="L665" s="29"/>
    </row>
    <row r="666" ht="15.75" customHeight="1">
      <c r="C666" s="29"/>
      <c r="D666" s="30"/>
      <c r="F666" s="30"/>
      <c r="I666" s="29"/>
      <c r="J666" s="29"/>
      <c r="L666" s="29"/>
    </row>
    <row r="667" ht="15.75" customHeight="1">
      <c r="C667" s="29"/>
      <c r="D667" s="30"/>
      <c r="F667" s="30"/>
      <c r="I667" s="29"/>
      <c r="J667" s="29"/>
      <c r="L667" s="29"/>
    </row>
    <row r="668" ht="15.75" customHeight="1">
      <c r="C668" s="29"/>
      <c r="D668" s="30"/>
      <c r="F668" s="30"/>
      <c r="I668" s="29"/>
      <c r="J668" s="29"/>
      <c r="L668" s="29"/>
    </row>
    <row r="669" ht="15.75" customHeight="1">
      <c r="C669" s="29"/>
      <c r="D669" s="30"/>
      <c r="F669" s="30"/>
      <c r="I669" s="29"/>
      <c r="J669" s="29"/>
      <c r="L669" s="29"/>
    </row>
    <row r="670" ht="15.75" customHeight="1">
      <c r="C670" s="29"/>
      <c r="D670" s="30"/>
      <c r="F670" s="30"/>
      <c r="I670" s="29"/>
      <c r="J670" s="29"/>
      <c r="L670" s="29"/>
    </row>
    <row r="671" ht="15.75" customHeight="1">
      <c r="C671" s="29"/>
      <c r="D671" s="30"/>
      <c r="F671" s="30"/>
      <c r="I671" s="29"/>
      <c r="J671" s="29"/>
      <c r="L671" s="29"/>
    </row>
    <row r="672" ht="15.75" customHeight="1">
      <c r="C672" s="29"/>
      <c r="D672" s="30"/>
      <c r="F672" s="30"/>
      <c r="I672" s="29"/>
      <c r="J672" s="29"/>
      <c r="L672" s="29"/>
    </row>
    <row r="673" ht="15.75" customHeight="1">
      <c r="C673" s="29"/>
      <c r="D673" s="30"/>
      <c r="F673" s="30"/>
      <c r="I673" s="29"/>
      <c r="J673" s="29"/>
      <c r="L673" s="29"/>
    </row>
    <row r="674" ht="15.75" customHeight="1">
      <c r="C674" s="29"/>
      <c r="D674" s="30"/>
      <c r="F674" s="30"/>
      <c r="I674" s="29"/>
      <c r="J674" s="29"/>
      <c r="L674" s="29"/>
    </row>
    <row r="675" ht="15.75" customHeight="1">
      <c r="C675" s="29"/>
      <c r="D675" s="30"/>
      <c r="F675" s="30"/>
      <c r="I675" s="29"/>
      <c r="J675" s="29"/>
      <c r="L675" s="29"/>
    </row>
    <row r="676" ht="15.75" customHeight="1">
      <c r="C676" s="29"/>
      <c r="D676" s="30"/>
      <c r="F676" s="30"/>
      <c r="I676" s="29"/>
      <c r="J676" s="29"/>
      <c r="L676" s="29"/>
    </row>
    <row r="677" ht="15.75" customHeight="1">
      <c r="C677" s="29"/>
      <c r="D677" s="30"/>
      <c r="F677" s="30"/>
      <c r="I677" s="29"/>
      <c r="J677" s="29"/>
      <c r="L677" s="29"/>
    </row>
    <row r="678" ht="15.75" customHeight="1">
      <c r="C678" s="29"/>
      <c r="D678" s="30"/>
      <c r="F678" s="30"/>
      <c r="I678" s="29"/>
      <c r="J678" s="29"/>
      <c r="L678" s="29"/>
    </row>
    <row r="679" ht="15.75" customHeight="1">
      <c r="C679" s="29"/>
      <c r="D679" s="30"/>
      <c r="F679" s="30"/>
      <c r="I679" s="29"/>
      <c r="J679" s="29"/>
      <c r="L679" s="29"/>
    </row>
    <row r="680" ht="15.75" customHeight="1">
      <c r="C680" s="29"/>
      <c r="D680" s="30"/>
      <c r="F680" s="30"/>
      <c r="I680" s="29"/>
      <c r="J680" s="29"/>
      <c r="L680" s="29"/>
    </row>
    <row r="681" ht="15.75" customHeight="1">
      <c r="C681" s="29"/>
      <c r="D681" s="30"/>
      <c r="F681" s="30"/>
      <c r="I681" s="29"/>
      <c r="J681" s="29"/>
      <c r="L681" s="29"/>
    </row>
    <row r="682" ht="15.75" customHeight="1">
      <c r="C682" s="29"/>
      <c r="D682" s="30"/>
      <c r="F682" s="30"/>
      <c r="I682" s="29"/>
      <c r="J682" s="29"/>
      <c r="L682" s="29"/>
    </row>
    <row r="683" ht="15.75" customHeight="1">
      <c r="C683" s="29"/>
      <c r="D683" s="30"/>
      <c r="F683" s="30"/>
      <c r="I683" s="29"/>
      <c r="J683" s="29"/>
      <c r="L683" s="29"/>
    </row>
    <row r="684" ht="15.75" customHeight="1">
      <c r="C684" s="29"/>
      <c r="D684" s="30"/>
      <c r="F684" s="30"/>
      <c r="I684" s="29"/>
      <c r="J684" s="29"/>
      <c r="L684" s="29"/>
    </row>
    <row r="685" ht="15.75" customHeight="1">
      <c r="C685" s="29"/>
      <c r="D685" s="30"/>
      <c r="F685" s="30"/>
      <c r="I685" s="29"/>
      <c r="J685" s="29"/>
      <c r="L685" s="29"/>
    </row>
    <row r="686" ht="15.75" customHeight="1">
      <c r="C686" s="29"/>
      <c r="D686" s="30"/>
      <c r="F686" s="30"/>
      <c r="I686" s="29"/>
      <c r="J686" s="29"/>
      <c r="L686" s="29"/>
    </row>
    <row r="687" ht="15.75" customHeight="1">
      <c r="C687" s="29"/>
      <c r="D687" s="30"/>
      <c r="F687" s="30"/>
      <c r="I687" s="29"/>
      <c r="J687" s="29"/>
      <c r="L687" s="29"/>
    </row>
    <row r="688" ht="15.75" customHeight="1">
      <c r="C688" s="29"/>
      <c r="D688" s="30"/>
      <c r="F688" s="30"/>
      <c r="I688" s="29"/>
      <c r="J688" s="29"/>
      <c r="L688" s="29"/>
    </row>
    <row r="689" ht="15.75" customHeight="1">
      <c r="C689" s="29"/>
      <c r="D689" s="30"/>
      <c r="F689" s="30"/>
      <c r="I689" s="29"/>
      <c r="J689" s="29"/>
      <c r="L689" s="29"/>
    </row>
    <row r="690" ht="15.75" customHeight="1">
      <c r="C690" s="29"/>
      <c r="D690" s="30"/>
      <c r="F690" s="30"/>
      <c r="I690" s="29"/>
      <c r="J690" s="29"/>
      <c r="L690" s="29"/>
    </row>
    <row r="691" ht="15.75" customHeight="1">
      <c r="C691" s="29"/>
      <c r="D691" s="30"/>
      <c r="F691" s="30"/>
      <c r="I691" s="29"/>
      <c r="J691" s="29"/>
      <c r="L691" s="29"/>
    </row>
    <row r="692" ht="15.75" customHeight="1">
      <c r="C692" s="29"/>
      <c r="D692" s="30"/>
      <c r="F692" s="30"/>
      <c r="I692" s="29"/>
      <c r="J692" s="29"/>
      <c r="L692" s="29"/>
    </row>
    <row r="693" ht="15.75" customHeight="1">
      <c r="C693" s="29"/>
      <c r="D693" s="30"/>
      <c r="F693" s="30"/>
      <c r="I693" s="29"/>
      <c r="J693" s="29"/>
      <c r="L693" s="29"/>
    </row>
    <row r="694" ht="15.75" customHeight="1">
      <c r="C694" s="29"/>
      <c r="D694" s="30"/>
      <c r="F694" s="30"/>
      <c r="I694" s="29"/>
      <c r="J694" s="29"/>
      <c r="L694" s="29"/>
    </row>
    <row r="695" ht="15.75" customHeight="1">
      <c r="C695" s="29"/>
      <c r="D695" s="30"/>
      <c r="F695" s="30"/>
      <c r="I695" s="29"/>
      <c r="J695" s="29"/>
      <c r="L695" s="29"/>
    </row>
    <row r="696" ht="15.75" customHeight="1">
      <c r="C696" s="29"/>
      <c r="D696" s="30"/>
      <c r="F696" s="30"/>
      <c r="I696" s="29"/>
      <c r="J696" s="29"/>
      <c r="L696" s="29"/>
    </row>
    <row r="697" ht="15.75" customHeight="1">
      <c r="C697" s="29"/>
      <c r="D697" s="30"/>
      <c r="F697" s="30"/>
      <c r="I697" s="29"/>
      <c r="J697" s="29"/>
      <c r="L697" s="29"/>
    </row>
    <row r="698" ht="15.75" customHeight="1">
      <c r="C698" s="29"/>
      <c r="D698" s="30"/>
      <c r="F698" s="30"/>
      <c r="I698" s="29"/>
      <c r="J698" s="29"/>
      <c r="L698" s="29"/>
    </row>
    <row r="699" ht="15.75" customHeight="1">
      <c r="C699" s="29"/>
      <c r="D699" s="30"/>
      <c r="F699" s="30"/>
      <c r="I699" s="29"/>
      <c r="J699" s="29"/>
      <c r="L699" s="29"/>
    </row>
    <row r="700" ht="15.75" customHeight="1">
      <c r="C700" s="29"/>
      <c r="D700" s="30"/>
      <c r="F700" s="30"/>
      <c r="I700" s="29"/>
      <c r="J700" s="29"/>
      <c r="L700" s="29"/>
    </row>
    <row r="701" ht="15.75" customHeight="1">
      <c r="C701" s="29"/>
      <c r="D701" s="30"/>
      <c r="F701" s="30"/>
      <c r="I701" s="29"/>
      <c r="J701" s="29"/>
      <c r="L701" s="29"/>
    </row>
    <row r="702" ht="15.75" customHeight="1">
      <c r="C702" s="29"/>
      <c r="D702" s="30"/>
      <c r="F702" s="30"/>
      <c r="I702" s="29"/>
      <c r="J702" s="29"/>
      <c r="L702" s="29"/>
    </row>
    <row r="703" ht="15.75" customHeight="1">
      <c r="C703" s="29"/>
      <c r="D703" s="30"/>
      <c r="F703" s="30"/>
      <c r="I703" s="29"/>
      <c r="J703" s="29"/>
      <c r="L703" s="29"/>
    </row>
    <row r="704" ht="15.75" customHeight="1">
      <c r="C704" s="29"/>
      <c r="D704" s="30"/>
      <c r="F704" s="30"/>
      <c r="I704" s="29"/>
      <c r="J704" s="29"/>
      <c r="L704" s="29"/>
    </row>
    <row r="705" ht="15.75" customHeight="1">
      <c r="C705" s="29"/>
      <c r="D705" s="30"/>
      <c r="F705" s="30"/>
      <c r="I705" s="29"/>
      <c r="J705" s="29"/>
      <c r="L705" s="29"/>
    </row>
    <row r="706" ht="15.75" customHeight="1">
      <c r="C706" s="29"/>
      <c r="D706" s="30"/>
      <c r="F706" s="30"/>
      <c r="I706" s="29"/>
      <c r="J706" s="29"/>
      <c r="L706" s="29"/>
    </row>
    <row r="707" ht="15.75" customHeight="1">
      <c r="C707" s="29"/>
      <c r="D707" s="30"/>
      <c r="F707" s="30"/>
      <c r="I707" s="29"/>
      <c r="J707" s="29"/>
      <c r="L707" s="29"/>
    </row>
    <row r="708" ht="15.75" customHeight="1">
      <c r="C708" s="29"/>
      <c r="D708" s="30"/>
      <c r="F708" s="30"/>
      <c r="I708" s="29"/>
      <c r="J708" s="29"/>
      <c r="L708" s="29"/>
    </row>
    <row r="709" ht="15.75" customHeight="1">
      <c r="C709" s="29"/>
      <c r="D709" s="30"/>
      <c r="F709" s="30"/>
      <c r="I709" s="29"/>
      <c r="J709" s="29"/>
      <c r="L709" s="29"/>
    </row>
    <row r="710" ht="15.75" customHeight="1">
      <c r="C710" s="29"/>
      <c r="D710" s="30"/>
      <c r="F710" s="30"/>
      <c r="I710" s="29"/>
      <c r="J710" s="29"/>
      <c r="L710" s="29"/>
    </row>
    <row r="711" ht="15.75" customHeight="1">
      <c r="C711" s="29"/>
      <c r="D711" s="30"/>
      <c r="F711" s="30"/>
      <c r="I711" s="29"/>
      <c r="J711" s="29"/>
      <c r="L711" s="29"/>
    </row>
    <row r="712" ht="15.75" customHeight="1">
      <c r="C712" s="29"/>
      <c r="D712" s="30"/>
      <c r="F712" s="30"/>
      <c r="I712" s="29"/>
      <c r="J712" s="29"/>
      <c r="L712" s="29"/>
    </row>
    <row r="713" ht="15.75" customHeight="1">
      <c r="C713" s="29"/>
      <c r="D713" s="30"/>
      <c r="F713" s="30"/>
      <c r="I713" s="29"/>
      <c r="J713" s="29"/>
      <c r="L713" s="29"/>
    </row>
    <row r="714" ht="15.75" customHeight="1">
      <c r="C714" s="29"/>
      <c r="D714" s="30"/>
      <c r="F714" s="30"/>
      <c r="I714" s="29"/>
      <c r="J714" s="29"/>
      <c r="L714" s="29"/>
    </row>
    <row r="715" ht="15.75" customHeight="1">
      <c r="C715" s="29"/>
      <c r="D715" s="30"/>
      <c r="F715" s="30"/>
      <c r="I715" s="29"/>
      <c r="J715" s="29"/>
      <c r="L715" s="29"/>
    </row>
    <row r="716" ht="15.75" customHeight="1">
      <c r="C716" s="29"/>
      <c r="D716" s="30"/>
      <c r="F716" s="30"/>
      <c r="I716" s="29"/>
      <c r="J716" s="29"/>
      <c r="L716" s="29"/>
    </row>
    <row r="717" ht="15.75" customHeight="1">
      <c r="C717" s="29"/>
      <c r="D717" s="30"/>
      <c r="F717" s="30"/>
      <c r="I717" s="29"/>
      <c r="J717" s="29"/>
      <c r="L717" s="29"/>
    </row>
    <row r="718" ht="15.75" customHeight="1">
      <c r="C718" s="29"/>
      <c r="D718" s="30"/>
      <c r="F718" s="30"/>
      <c r="I718" s="29"/>
      <c r="J718" s="29"/>
      <c r="L718" s="29"/>
    </row>
    <row r="719" ht="15.75" customHeight="1">
      <c r="C719" s="29"/>
      <c r="D719" s="30"/>
      <c r="F719" s="30"/>
      <c r="I719" s="29"/>
      <c r="J719" s="29"/>
      <c r="L719" s="29"/>
    </row>
    <row r="720" ht="15.75" customHeight="1">
      <c r="C720" s="29"/>
      <c r="D720" s="30"/>
      <c r="F720" s="30"/>
      <c r="I720" s="29"/>
      <c r="J720" s="29"/>
      <c r="L720" s="29"/>
    </row>
    <row r="721" ht="15.75" customHeight="1">
      <c r="C721" s="29"/>
      <c r="D721" s="30"/>
      <c r="F721" s="30"/>
      <c r="I721" s="29"/>
      <c r="J721" s="29"/>
      <c r="L721" s="29"/>
    </row>
    <row r="722" ht="15.75" customHeight="1">
      <c r="C722" s="29"/>
      <c r="D722" s="30"/>
      <c r="F722" s="30"/>
      <c r="I722" s="29"/>
      <c r="J722" s="29"/>
      <c r="L722" s="29"/>
    </row>
    <row r="723" ht="15.75" customHeight="1">
      <c r="C723" s="29"/>
      <c r="D723" s="30"/>
      <c r="F723" s="30"/>
      <c r="I723" s="29"/>
      <c r="J723" s="29"/>
      <c r="L723" s="29"/>
    </row>
    <row r="724" ht="15.75" customHeight="1">
      <c r="C724" s="29"/>
      <c r="D724" s="30"/>
      <c r="F724" s="30"/>
      <c r="I724" s="29"/>
      <c r="J724" s="29"/>
      <c r="L724" s="29"/>
    </row>
    <row r="725" ht="15.75" customHeight="1">
      <c r="C725" s="29"/>
      <c r="D725" s="30"/>
      <c r="F725" s="30"/>
      <c r="I725" s="29"/>
      <c r="J725" s="29"/>
      <c r="L725" s="29"/>
    </row>
    <row r="726" ht="15.75" customHeight="1">
      <c r="C726" s="29"/>
      <c r="D726" s="30"/>
      <c r="F726" s="30"/>
      <c r="I726" s="29"/>
      <c r="J726" s="29"/>
      <c r="L726" s="29"/>
    </row>
    <row r="727" ht="15.75" customHeight="1">
      <c r="C727" s="29"/>
      <c r="D727" s="30"/>
      <c r="F727" s="30"/>
      <c r="I727" s="29"/>
      <c r="J727" s="29"/>
      <c r="L727" s="29"/>
    </row>
    <row r="728" ht="15.75" customHeight="1">
      <c r="C728" s="29"/>
      <c r="D728" s="30"/>
      <c r="F728" s="30"/>
      <c r="I728" s="29"/>
      <c r="J728" s="29"/>
      <c r="L728" s="29"/>
    </row>
    <row r="729" ht="15.75" customHeight="1">
      <c r="C729" s="29"/>
      <c r="D729" s="30"/>
      <c r="F729" s="30"/>
      <c r="I729" s="29"/>
      <c r="J729" s="29"/>
      <c r="L729" s="29"/>
    </row>
    <row r="730" ht="15.75" customHeight="1">
      <c r="C730" s="29"/>
      <c r="D730" s="30"/>
      <c r="F730" s="30"/>
      <c r="I730" s="29"/>
      <c r="J730" s="29"/>
      <c r="L730" s="29"/>
    </row>
    <row r="731" ht="15.75" customHeight="1">
      <c r="C731" s="29"/>
      <c r="D731" s="30"/>
      <c r="F731" s="30"/>
      <c r="I731" s="29"/>
      <c r="J731" s="29"/>
      <c r="L731" s="29"/>
    </row>
    <row r="732" ht="15.75" customHeight="1">
      <c r="C732" s="29"/>
      <c r="D732" s="30"/>
      <c r="F732" s="30"/>
      <c r="I732" s="29"/>
      <c r="J732" s="29"/>
      <c r="L732" s="29"/>
    </row>
    <row r="733" ht="15.75" customHeight="1">
      <c r="C733" s="29"/>
      <c r="D733" s="30"/>
      <c r="F733" s="30"/>
      <c r="I733" s="29"/>
      <c r="J733" s="29"/>
      <c r="L733" s="29"/>
    </row>
    <row r="734" ht="15.75" customHeight="1">
      <c r="C734" s="29"/>
      <c r="D734" s="30"/>
      <c r="F734" s="30"/>
      <c r="I734" s="29"/>
      <c r="J734" s="29"/>
      <c r="L734" s="29"/>
    </row>
    <row r="735" ht="15.75" customHeight="1">
      <c r="C735" s="29"/>
      <c r="D735" s="30"/>
      <c r="F735" s="30"/>
      <c r="I735" s="29"/>
      <c r="J735" s="29"/>
      <c r="L735" s="29"/>
    </row>
    <row r="736" ht="15.75" customHeight="1">
      <c r="C736" s="29"/>
      <c r="D736" s="30"/>
      <c r="F736" s="30"/>
      <c r="I736" s="29"/>
      <c r="J736" s="29"/>
      <c r="L736" s="29"/>
    </row>
    <row r="737" ht="15.75" customHeight="1">
      <c r="C737" s="29"/>
      <c r="D737" s="30"/>
      <c r="F737" s="30"/>
      <c r="I737" s="29"/>
      <c r="J737" s="29"/>
      <c r="L737" s="29"/>
    </row>
    <row r="738" ht="15.75" customHeight="1">
      <c r="C738" s="29"/>
      <c r="D738" s="30"/>
      <c r="F738" s="30"/>
      <c r="I738" s="29"/>
      <c r="J738" s="29"/>
      <c r="L738" s="29"/>
    </row>
    <row r="739" ht="15.75" customHeight="1">
      <c r="C739" s="29"/>
      <c r="D739" s="30"/>
      <c r="F739" s="30"/>
      <c r="I739" s="29"/>
      <c r="J739" s="29"/>
      <c r="L739" s="29"/>
    </row>
    <row r="740" ht="15.75" customHeight="1">
      <c r="C740" s="29"/>
      <c r="D740" s="30"/>
      <c r="F740" s="30"/>
      <c r="I740" s="29"/>
      <c r="J740" s="29"/>
      <c r="L740" s="29"/>
    </row>
    <row r="741" ht="15.75" customHeight="1">
      <c r="C741" s="29"/>
      <c r="D741" s="30"/>
      <c r="F741" s="30"/>
      <c r="I741" s="29"/>
      <c r="J741" s="29"/>
      <c r="L741" s="29"/>
    </row>
    <row r="742" ht="15.75" customHeight="1">
      <c r="C742" s="29"/>
      <c r="D742" s="30"/>
      <c r="F742" s="30"/>
      <c r="I742" s="29"/>
      <c r="J742" s="29"/>
      <c r="L742" s="29"/>
    </row>
    <row r="743" ht="15.75" customHeight="1">
      <c r="C743" s="29"/>
      <c r="D743" s="30"/>
      <c r="F743" s="30"/>
      <c r="I743" s="29"/>
      <c r="J743" s="29"/>
      <c r="L743" s="29"/>
    </row>
    <row r="744" ht="15.75" customHeight="1">
      <c r="C744" s="29"/>
      <c r="D744" s="30"/>
      <c r="F744" s="30"/>
      <c r="I744" s="29"/>
      <c r="J744" s="29"/>
      <c r="L744" s="29"/>
    </row>
    <row r="745" ht="15.75" customHeight="1">
      <c r="C745" s="29"/>
      <c r="D745" s="30"/>
      <c r="F745" s="30"/>
      <c r="I745" s="29"/>
      <c r="J745" s="29"/>
      <c r="L745" s="29"/>
    </row>
    <row r="746" ht="15.75" customHeight="1">
      <c r="C746" s="29"/>
      <c r="D746" s="30"/>
      <c r="F746" s="30"/>
      <c r="I746" s="29"/>
      <c r="J746" s="29"/>
      <c r="L746" s="29"/>
    </row>
    <row r="747" ht="15.75" customHeight="1">
      <c r="C747" s="29"/>
      <c r="D747" s="30"/>
      <c r="F747" s="30"/>
      <c r="I747" s="29"/>
      <c r="J747" s="29"/>
      <c r="L747" s="29"/>
    </row>
    <row r="748" ht="15.75" customHeight="1">
      <c r="C748" s="29"/>
      <c r="D748" s="30"/>
      <c r="F748" s="30"/>
      <c r="I748" s="29"/>
      <c r="J748" s="29"/>
      <c r="L748" s="29"/>
    </row>
    <row r="749" ht="15.75" customHeight="1">
      <c r="C749" s="29"/>
      <c r="D749" s="30"/>
      <c r="F749" s="30"/>
      <c r="I749" s="29"/>
      <c r="J749" s="29"/>
      <c r="L749" s="29"/>
    </row>
    <row r="750" ht="15.75" customHeight="1">
      <c r="C750" s="29"/>
      <c r="D750" s="30"/>
      <c r="F750" s="30"/>
      <c r="I750" s="29"/>
      <c r="J750" s="29"/>
      <c r="L750" s="29"/>
    </row>
    <row r="751" ht="15.75" customHeight="1">
      <c r="C751" s="29"/>
      <c r="D751" s="30"/>
      <c r="F751" s="30"/>
      <c r="I751" s="29"/>
      <c r="J751" s="29"/>
      <c r="L751" s="29"/>
    </row>
    <row r="752" ht="15.75" customHeight="1">
      <c r="C752" s="29"/>
      <c r="D752" s="30"/>
      <c r="F752" s="30"/>
      <c r="I752" s="29"/>
      <c r="J752" s="29"/>
      <c r="L752" s="29"/>
    </row>
    <row r="753" ht="15.75" customHeight="1">
      <c r="C753" s="29"/>
      <c r="D753" s="30"/>
      <c r="F753" s="30"/>
      <c r="I753" s="29"/>
      <c r="J753" s="29"/>
      <c r="L753" s="29"/>
    </row>
    <row r="754" ht="15.75" customHeight="1">
      <c r="C754" s="29"/>
      <c r="D754" s="30"/>
      <c r="F754" s="30"/>
      <c r="I754" s="29"/>
      <c r="J754" s="29"/>
      <c r="L754" s="29"/>
    </row>
    <row r="755" ht="15.75" customHeight="1">
      <c r="C755" s="29"/>
      <c r="D755" s="30"/>
      <c r="F755" s="30"/>
      <c r="I755" s="29"/>
      <c r="J755" s="29"/>
      <c r="L755" s="29"/>
    </row>
    <row r="756" ht="15.75" customHeight="1">
      <c r="C756" s="29"/>
      <c r="D756" s="30"/>
      <c r="F756" s="30"/>
      <c r="I756" s="29"/>
      <c r="J756" s="29"/>
      <c r="L756" s="29"/>
    </row>
    <row r="757" ht="15.75" customHeight="1">
      <c r="C757" s="29"/>
      <c r="D757" s="30"/>
      <c r="F757" s="30"/>
      <c r="I757" s="29"/>
      <c r="J757" s="29"/>
      <c r="L757" s="29"/>
    </row>
    <row r="758" ht="15.75" customHeight="1">
      <c r="C758" s="29"/>
      <c r="D758" s="30"/>
      <c r="F758" s="30"/>
      <c r="I758" s="29"/>
      <c r="J758" s="29"/>
      <c r="L758" s="29"/>
    </row>
    <row r="759" ht="15.75" customHeight="1">
      <c r="C759" s="29"/>
      <c r="D759" s="30"/>
      <c r="F759" s="30"/>
      <c r="I759" s="29"/>
      <c r="J759" s="29"/>
      <c r="L759" s="29"/>
    </row>
    <row r="760" ht="15.75" customHeight="1">
      <c r="C760" s="29"/>
      <c r="D760" s="30"/>
      <c r="F760" s="30"/>
      <c r="I760" s="29"/>
      <c r="J760" s="29"/>
      <c r="L760" s="29"/>
    </row>
    <row r="761" ht="15.75" customHeight="1">
      <c r="C761" s="29"/>
      <c r="D761" s="30"/>
      <c r="F761" s="30"/>
      <c r="I761" s="29"/>
      <c r="J761" s="29"/>
      <c r="L761" s="29"/>
    </row>
    <row r="762" ht="15.75" customHeight="1">
      <c r="C762" s="29"/>
      <c r="D762" s="30"/>
      <c r="F762" s="30"/>
      <c r="I762" s="29"/>
      <c r="J762" s="29"/>
      <c r="L762" s="29"/>
    </row>
    <row r="763" ht="15.75" customHeight="1">
      <c r="C763" s="29"/>
      <c r="D763" s="30"/>
      <c r="F763" s="30"/>
      <c r="I763" s="29"/>
      <c r="J763" s="29"/>
      <c r="L763" s="29"/>
    </row>
    <row r="764" ht="15.75" customHeight="1">
      <c r="C764" s="29"/>
      <c r="D764" s="30"/>
      <c r="F764" s="30"/>
      <c r="I764" s="29"/>
      <c r="J764" s="29"/>
      <c r="L764" s="29"/>
    </row>
    <row r="765" ht="15.75" customHeight="1">
      <c r="C765" s="29"/>
      <c r="D765" s="30"/>
      <c r="F765" s="30"/>
      <c r="I765" s="29"/>
      <c r="J765" s="29"/>
      <c r="L765" s="29"/>
    </row>
    <row r="766" ht="15.75" customHeight="1">
      <c r="C766" s="29"/>
      <c r="D766" s="30"/>
      <c r="F766" s="30"/>
      <c r="I766" s="29"/>
      <c r="J766" s="29"/>
      <c r="L766" s="29"/>
    </row>
    <row r="767" ht="15.75" customHeight="1">
      <c r="C767" s="29"/>
      <c r="D767" s="30"/>
      <c r="F767" s="30"/>
      <c r="I767" s="29"/>
      <c r="J767" s="29"/>
      <c r="L767" s="29"/>
    </row>
    <row r="768" ht="15.75" customHeight="1">
      <c r="C768" s="29"/>
      <c r="D768" s="30"/>
      <c r="F768" s="30"/>
      <c r="I768" s="29"/>
      <c r="J768" s="29"/>
      <c r="L768" s="29"/>
    </row>
    <row r="769" ht="15.75" customHeight="1">
      <c r="C769" s="29"/>
      <c r="D769" s="30"/>
      <c r="F769" s="30"/>
      <c r="I769" s="29"/>
      <c r="J769" s="29"/>
      <c r="L769" s="29"/>
    </row>
    <row r="770" ht="15.75" customHeight="1">
      <c r="C770" s="29"/>
      <c r="D770" s="30"/>
      <c r="F770" s="30"/>
      <c r="I770" s="29"/>
      <c r="J770" s="29"/>
      <c r="L770" s="29"/>
    </row>
    <row r="771" ht="15.75" customHeight="1">
      <c r="C771" s="29"/>
      <c r="D771" s="30"/>
      <c r="F771" s="30"/>
      <c r="I771" s="29"/>
      <c r="J771" s="29"/>
      <c r="L771" s="29"/>
    </row>
    <row r="772" ht="15.75" customHeight="1">
      <c r="C772" s="29"/>
      <c r="D772" s="30"/>
      <c r="F772" s="30"/>
      <c r="I772" s="29"/>
      <c r="J772" s="29"/>
      <c r="L772" s="29"/>
    </row>
    <row r="773" ht="15.75" customHeight="1">
      <c r="C773" s="29"/>
      <c r="D773" s="30"/>
      <c r="F773" s="30"/>
      <c r="I773" s="29"/>
      <c r="J773" s="29"/>
      <c r="L773" s="29"/>
    </row>
    <row r="774" ht="15.75" customHeight="1">
      <c r="C774" s="29"/>
      <c r="D774" s="30"/>
      <c r="F774" s="30"/>
      <c r="I774" s="29"/>
      <c r="J774" s="29"/>
      <c r="L774" s="29"/>
    </row>
    <row r="775" ht="15.75" customHeight="1">
      <c r="C775" s="29"/>
      <c r="D775" s="30"/>
      <c r="F775" s="30"/>
      <c r="I775" s="29"/>
      <c r="J775" s="29"/>
      <c r="L775" s="29"/>
    </row>
    <row r="776" ht="15.75" customHeight="1">
      <c r="C776" s="29"/>
      <c r="D776" s="30"/>
      <c r="F776" s="30"/>
      <c r="I776" s="29"/>
      <c r="J776" s="29"/>
      <c r="L776" s="29"/>
    </row>
    <row r="777" ht="15.75" customHeight="1">
      <c r="C777" s="29"/>
      <c r="D777" s="30"/>
      <c r="F777" s="30"/>
      <c r="I777" s="29"/>
      <c r="J777" s="29"/>
      <c r="L777" s="29"/>
    </row>
    <row r="778" ht="15.75" customHeight="1">
      <c r="C778" s="29"/>
      <c r="D778" s="30"/>
      <c r="F778" s="30"/>
      <c r="I778" s="29"/>
      <c r="J778" s="29"/>
      <c r="L778" s="29"/>
    </row>
    <row r="779" ht="15.75" customHeight="1">
      <c r="C779" s="29"/>
      <c r="D779" s="30"/>
      <c r="F779" s="30"/>
      <c r="I779" s="29"/>
      <c r="J779" s="29"/>
      <c r="L779" s="29"/>
    </row>
    <row r="780" ht="15.75" customHeight="1">
      <c r="C780" s="29"/>
      <c r="D780" s="30"/>
      <c r="F780" s="30"/>
      <c r="I780" s="29"/>
      <c r="J780" s="29"/>
      <c r="L780" s="29"/>
    </row>
    <row r="781" ht="15.75" customHeight="1">
      <c r="C781" s="29"/>
      <c r="D781" s="30"/>
      <c r="F781" s="30"/>
      <c r="I781" s="29"/>
      <c r="J781" s="29"/>
      <c r="L781" s="29"/>
    </row>
    <row r="782" ht="15.75" customHeight="1">
      <c r="C782" s="29"/>
      <c r="D782" s="30"/>
      <c r="F782" s="30"/>
      <c r="I782" s="29"/>
      <c r="J782" s="29"/>
      <c r="L782" s="29"/>
    </row>
    <row r="783" ht="15.75" customHeight="1">
      <c r="C783" s="29"/>
      <c r="D783" s="30"/>
      <c r="F783" s="30"/>
      <c r="I783" s="29"/>
      <c r="J783" s="29"/>
      <c r="L783" s="29"/>
    </row>
    <row r="784" ht="15.75" customHeight="1">
      <c r="C784" s="29"/>
      <c r="D784" s="30"/>
      <c r="F784" s="30"/>
      <c r="I784" s="29"/>
      <c r="J784" s="29"/>
      <c r="L784" s="29"/>
    </row>
    <row r="785" ht="15.75" customHeight="1">
      <c r="C785" s="29"/>
      <c r="D785" s="30"/>
      <c r="F785" s="30"/>
      <c r="I785" s="29"/>
      <c r="J785" s="29"/>
      <c r="L785" s="29"/>
    </row>
    <row r="786" ht="15.75" customHeight="1">
      <c r="C786" s="29"/>
      <c r="D786" s="30"/>
      <c r="F786" s="30"/>
      <c r="I786" s="29"/>
      <c r="J786" s="29"/>
      <c r="L786" s="29"/>
    </row>
    <row r="787" ht="15.75" customHeight="1">
      <c r="C787" s="29"/>
      <c r="D787" s="30"/>
      <c r="F787" s="30"/>
      <c r="I787" s="29"/>
      <c r="J787" s="29"/>
      <c r="L787" s="29"/>
    </row>
    <row r="788" ht="15.75" customHeight="1">
      <c r="C788" s="29"/>
      <c r="D788" s="30"/>
      <c r="F788" s="30"/>
      <c r="I788" s="29"/>
      <c r="J788" s="29"/>
      <c r="L788" s="29"/>
    </row>
    <row r="789" ht="15.75" customHeight="1">
      <c r="C789" s="29"/>
      <c r="D789" s="30"/>
      <c r="F789" s="30"/>
      <c r="I789" s="29"/>
      <c r="J789" s="29"/>
      <c r="L789" s="29"/>
    </row>
    <row r="790" ht="15.75" customHeight="1">
      <c r="C790" s="29"/>
      <c r="D790" s="30"/>
      <c r="F790" s="30"/>
      <c r="I790" s="29"/>
      <c r="J790" s="29"/>
      <c r="L790" s="29"/>
    </row>
    <row r="791" ht="15.75" customHeight="1">
      <c r="C791" s="29"/>
      <c r="D791" s="30"/>
      <c r="F791" s="30"/>
      <c r="I791" s="29"/>
      <c r="J791" s="29"/>
      <c r="L791" s="29"/>
    </row>
    <row r="792" ht="15.75" customHeight="1">
      <c r="C792" s="29"/>
      <c r="D792" s="30"/>
      <c r="F792" s="30"/>
      <c r="I792" s="29"/>
      <c r="J792" s="29"/>
      <c r="L792" s="29"/>
    </row>
    <row r="793" ht="15.75" customHeight="1">
      <c r="C793" s="29"/>
      <c r="D793" s="30"/>
      <c r="F793" s="30"/>
      <c r="I793" s="29"/>
      <c r="J793" s="29"/>
      <c r="L793" s="29"/>
    </row>
    <row r="794" ht="15.75" customHeight="1">
      <c r="C794" s="29"/>
      <c r="D794" s="30"/>
      <c r="F794" s="30"/>
      <c r="I794" s="29"/>
      <c r="J794" s="29"/>
      <c r="L794" s="29"/>
    </row>
    <row r="795" ht="15.75" customHeight="1">
      <c r="C795" s="29"/>
      <c r="D795" s="30"/>
      <c r="F795" s="30"/>
      <c r="I795" s="29"/>
      <c r="J795" s="29"/>
      <c r="L795" s="29"/>
    </row>
    <row r="796" ht="15.75" customHeight="1">
      <c r="C796" s="29"/>
      <c r="D796" s="30"/>
      <c r="F796" s="30"/>
      <c r="I796" s="29"/>
      <c r="J796" s="29"/>
      <c r="L796" s="29"/>
    </row>
    <row r="797" ht="15.75" customHeight="1">
      <c r="C797" s="29"/>
      <c r="D797" s="30"/>
      <c r="F797" s="30"/>
      <c r="I797" s="29"/>
      <c r="J797" s="29"/>
      <c r="L797" s="29"/>
    </row>
    <row r="798" ht="15.75" customHeight="1">
      <c r="C798" s="29"/>
      <c r="D798" s="30"/>
      <c r="F798" s="30"/>
      <c r="I798" s="29"/>
      <c r="J798" s="29"/>
      <c r="L798" s="29"/>
    </row>
    <row r="799" ht="15.75" customHeight="1">
      <c r="C799" s="29"/>
      <c r="D799" s="30"/>
      <c r="F799" s="30"/>
      <c r="I799" s="29"/>
      <c r="J799" s="29"/>
      <c r="L799" s="29"/>
    </row>
    <row r="800" ht="15.75" customHeight="1">
      <c r="C800" s="29"/>
      <c r="D800" s="30"/>
      <c r="F800" s="30"/>
      <c r="I800" s="29"/>
      <c r="J800" s="29"/>
      <c r="L800" s="29"/>
    </row>
    <row r="801" ht="15.75" customHeight="1">
      <c r="C801" s="29"/>
      <c r="D801" s="30"/>
      <c r="F801" s="30"/>
      <c r="I801" s="29"/>
      <c r="J801" s="29"/>
      <c r="L801" s="29"/>
    </row>
    <row r="802" ht="15.75" customHeight="1">
      <c r="C802" s="29"/>
      <c r="D802" s="30"/>
      <c r="F802" s="30"/>
      <c r="I802" s="29"/>
      <c r="J802" s="29"/>
      <c r="L802" s="29"/>
    </row>
    <row r="803" ht="15.75" customHeight="1">
      <c r="C803" s="29"/>
      <c r="D803" s="30"/>
      <c r="F803" s="30"/>
      <c r="I803" s="29"/>
      <c r="J803" s="29"/>
      <c r="L803" s="29"/>
    </row>
    <row r="804" ht="15.75" customHeight="1">
      <c r="C804" s="29"/>
      <c r="D804" s="30"/>
      <c r="F804" s="30"/>
      <c r="I804" s="29"/>
      <c r="J804" s="29"/>
      <c r="L804" s="29"/>
    </row>
    <row r="805" ht="15.75" customHeight="1">
      <c r="C805" s="29"/>
      <c r="D805" s="30"/>
      <c r="F805" s="30"/>
      <c r="I805" s="29"/>
      <c r="J805" s="29"/>
      <c r="L805" s="29"/>
    </row>
    <row r="806" ht="15.75" customHeight="1">
      <c r="C806" s="29"/>
      <c r="D806" s="30"/>
      <c r="F806" s="30"/>
      <c r="I806" s="29"/>
      <c r="J806" s="29"/>
      <c r="L806" s="29"/>
    </row>
    <row r="807" ht="15.75" customHeight="1">
      <c r="C807" s="29"/>
      <c r="D807" s="30"/>
      <c r="F807" s="30"/>
      <c r="I807" s="29"/>
      <c r="J807" s="29"/>
      <c r="L807" s="29"/>
    </row>
    <row r="808" ht="15.75" customHeight="1">
      <c r="C808" s="29"/>
      <c r="D808" s="30"/>
      <c r="F808" s="30"/>
      <c r="I808" s="29"/>
      <c r="J808" s="29"/>
      <c r="L808" s="29"/>
    </row>
    <row r="809" ht="15.75" customHeight="1">
      <c r="C809" s="29"/>
      <c r="D809" s="30"/>
      <c r="F809" s="30"/>
      <c r="I809" s="29"/>
      <c r="J809" s="29"/>
      <c r="L809" s="29"/>
    </row>
    <row r="810" ht="15.75" customHeight="1">
      <c r="C810" s="29"/>
      <c r="D810" s="30"/>
      <c r="F810" s="30"/>
      <c r="I810" s="29"/>
      <c r="J810" s="29"/>
      <c r="L810" s="29"/>
    </row>
    <row r="811" ht="15.75" customHeight="1">
      <c r="C811" s="29"/>
      <c r="D811" s="30"/>
      <c r="F811" s="30"/>
      <c r="I811" s="29"/>
      <c r="J811" s="29"/>
      <c r="L811" s="29"/>
    </row>
    <row r="812" ht="15.75" customHeight="1">
      <c r="C812" s="29"/>
      <c r="D812" s="30"/>
      <c r="F812" s="30"/>
      <c r="I812" s="29"/>
      <c r="J812" s="29"/>
      <c r="L812" s="29"/>
    </row>
    <row r="813" ht="15.75" customHeight="1">
      <c r="C813" s="29"/>
      <c r="D813" s="30"/>
      <c r="F813" s="30"/>
      <c r="I813" s="29"/>
      <c r="J813" s="29"/>
      <c r="L813" s="29"/>
    </row>
    <row r="814" ht="15.75" customHeight="1">
      <c r="C814" s="29"/>
      <c r="D814" s="30"/>
      <c r="F814" s="30"/>
      <c r="I814" s="29"/>
      <c r="J814" s="29"/>
      <c r="L814" s="29"/>
    </row>
    <row r="815" ht="15.75" customHeight="1">
      <c r="C815" s="29"/>
      <c r="D815" s="30"/>
      <c r="F815" s="30"/>
      <c r="I815" s="29"/>
      <c r="J815" s="29"/>
      <c r="L815" s="29"/>
    </row>
    <row r="816" ht="15.75" customHeight="1">
      <c r="C816" s="29"/>
      <c r="D816" s="30"/>
      <c r="F816" s="30"/>
      <c r="I816" s="29"/>
      <c r="J816" s="29"/>
      <c r="L816" s="29"/>
    </row>
    <row r="817" ht="15.75" customHeight="1">
      <c r="C817" s="29"/>
      <c r="D817" s="30"/>
      <c r="F817" s="30"/>
      <c r="I817" s="29"/>
      <c r="J817" s="29"/>
      <c r="L817" s="29"/>
    </row>
    <row r="818" ht="15.75" customHeight="1">
      <c r="C818" s="29"/>
      <c r="D818" s="30"/>
      <c r="F818" s="30"/>
      <c r="I818" s="29"/>
      <c r="J818" s="29"/>
      <c r="L818" s="29"/>
    </row>
    <row r="819" ht="15.75" customHeight="1">
      <c r="C819" s="29"/>
      <c r="D819" s="30"/>
      <c r="F819" s="30"/>
      <c r="I819" s="29"/>
      <c r="J819" s="29"/>
      <c r="L819" s="29"/>
    </row>
    <row r="820" ht="15.75" customHeight="1">
      <c r="C820" s="29"/>
      <c r="D820" s="30"/>
      <c r="F820" s="30"/>
      <c r="I820" s="29"/>
      <c r="J820" s="29"/>
      <c r="L820" s="29"/>
    </row>
    <row r="821" ht="15.75" customHeight="1">
      <c r="C821" s="29"/>
      <c r="D821" s="30"/>
      <c r="F821" s="30"/>
      <c r="I821" s="29"/>
      <c r="J821" s="29"/>
      <c r="L821" s="29"/>
    </row>
    <row r="822" ht="15.75" customHeight="1">
      <c r="C822" s="29"/>
      <c r="D822" s="30"/>
      <c r="F822" s="30"/>
      <c r="I822" s="29"/>
      <c r="J822" s="29"/>
      <c r="L822" s="29"/>
    </row>
    <row r="823" ht="15.75" customHeight="1">
      <c r="C823" s="29"/>
      <c r="D823" s="30"/>
      <c r="F823" s="30"/>
      <c r="I823" s="29"/>
      <c r="J823" s="29"/>
      <c r="L823" s="29"/>
    </row>
    <row r="824" ht="15.75" customHeight="1">
      <c r="C824" s="29"/>
      <c r="D824" s="30"/>
      <c r="F824" s="30"/>
      <c r="I824" s="29"/>
      <c r="J824" s="29"/>
      <c r="L824" s="29"/>
    </row>
    <row r="825" ht="15.75" customHeight="1">
      <c r="C825" s="29"/>
      <c r="D825" s="30"/>
      <c r="F825" s="30"/>
      <c r="I825" s="29"/>
      <c r="J825" s="29"/>
      <c r="L825" s="29"/>
    </row>
    <row r="826" ht="15.75" customHeight="1">
      <c r="C826" s="29"/>
      <c r="D826" s="30"/>
      <c r="F826" s="30"/>
      <c r="I826" s="29"/>
      <c r="J826" s="29"/>
      <c r="L826" s="29"/>
    </row>
    <row r="827" ht="15.75" customHeight="1">
      <c r="C827" s="29"/>
      <c r="D827" s="30"/>
      <c r="F827" s="30"/>
      <c r="I827" s="29"/>
      <c r="J827" s="29"/>
      <c r="L827" s="29"/>
    </row>
    <row r="828" ht="15.75" customHeight="1">
      <c r="C828" s="29"/>
      <c r="D828" s="30"/>
      <c r="F828" s="30"/>
      <c r="I828" s="29"/>
      <c r="J828" s="29"/>
      <c r="L828" s="29"/>
    </row>
    <row r="829" ht="15.75" customHeight="1">
      <c r="C829" s="29"/>
      <c r="D829" s="30"/>
      <c r="F829" s="30"/>
      <c r="I829" s="29"/>
      <c r="J829" s="29"/>
      <c r="L829" s="29"/>
    </row>
    <row r="830" ht="15.75" customHeight="1">
      <c r="C830" s="29"/>
      <c r="D830" s="30"/>
      <c r="F830" s="30"/>
      <c r="I830" s="29"/>
      <c r="J830" s="29"/>
      <c r="L830" s="29"/>
    </row>
    <row r="831" ht="15.75" customHeight="1">
      <c r="C831" s="29"/>
      <c r="D831" s="30"/>
      <c r="F831" s="30"/>
      <c r="I831" s="29"/>
      <c r="J831" s="29"/>
      <c r="L831" s="29"/>
    </row>
    <row r="832" ht="15.75" customHeight="1">
      <c r="C832" s="29"/>
      <c r="D832" s="30"/>
      <c r="F832" s="30"/>
      <c r="I832" s="29"/>
      <c r="J832" s="29"/>
      <c r="L832" s="29"/>
    </row>
    <row r="833" ht="15.75" customHeight="1">
      <c r="C833" s="29"/>
      <c r="D833" s="30"/>
      <c r="F833" s="30"/>
      <c r="I833" s="29"/>
      <c r="J833" s="29"/>
      <c r="L833" s="29"/>
    </row>
    <row r="834" ht="15.75" customHeight="1">
      <c r="C834" s="29"/>
      <c r="D834" s="30"/>
      <c r="F834" s="30"/>
      <c r="I834" s="29"/>
      <c r="J834" s="29"/>
      <c r="L834" s="29"/>
    </row>
    <row r="835" ht="15.75" customHeight="1">
      <c r="C835" s="29"/>
      <c r="D835" s="30"/>
      <c r="F835" s="30"/>
      <c r="I835" s="29"/>
      <c r="J835" s="29"/>
      <c r="L835" s="29"/>
    </row>
    <row r="836" ht="15.75" customHeight="1">
      <c r="C836" s="29"/>
      <c r="D836" s="30"/>
      <c r="F836" s="30"/>
      <c r="I836" s="29"/>
      <c r="J836" s="29"/>
      <c r="L836" s="29"/>
    </row>
    <row r="837" ht="15.75" customHeight="1">
      <c r="C837" s="29"/>
      <c r="D837" s="30"/>
      <c r="F837" s="30"/>
      <c r="I837" s="29"/>
      <c r="J837" s="29"/>
      <c r="L837" s="29"/>
    </row>
    <row r="838" ht="15.75" customHeight="1">
      <c r="C838" s="29"/>
      <c r="D838" s="30"/>
      <c r="F838" s="30"/>
      <c r="I838" s="29"/>
      <c r="J838" s="29"/>
      <c r="L838" s="29"/>
    </row>
    <row r="839" ht="15.75" customHeight="1">
      <c r="C839" s="29"/>
      <c r="D839" s="30"/>
      <c r="F839" s="30"/>
      <c r="I839" s="29"/>
      <c r="J839" s="29"/>
      <c r="L839" s="29"/>
    </row>
    <row r="840" ht="15.75" customHeight="1">
      <c r="C840" s="29"/>
      <c r="D840" s="30"/>
      <c r="F840" s="30"/>
      <c r="I840" s="29"/>
      <c r="J840" s="29"/>
      <c r="L840" s="29"/>
    </row>
    <row r="841" ht="15.75" customHeight="1">
      <c r="C841" s="29"/>
      <c r="D841" s="30"/>
      <c r="F841" s="30"/>
      <c r="I841" s="29"/>
      <c r="J841" s="29"/>
      <c r="L841" s="29"/>
    </row>
    <row r="842" ht="15.75" customHeight="1">
      <c r="C842" s="29"/>
      <c r="D842" s="30"/>
      <c r="F842" s="30"/>
      <c r="I842" s="29"/>
      <c r="J842" s="29"/>
      <c r="L842" s="29"/>
    </row>
    <row r="843" ht="15.75" customHeight="1">
      <c r="C843" s="29"/>
      <c r="D843" s="30"/>
      <c r="F843" s="30"/>
      <c r="I843" s="29"/>
      <c r="J843" s="29"/>
      <c r="L843" s="29"/>
    </row>
    <row r="844" ht="15.75" customHeight="1">
      <c r="C844" s="29"/>
      <c r="D844" s="30"/>
      <c r="F844" s="30"/>
      <c r="I844" s="29"/>
      <c r="J844" s="29"/>
      <c r="L844" s="29"/>
    </row>
    <row r="845" ht="15.75" customHeight="1">
      <c r="C845" s="29"/>
      <c r="D845" s="30"/>
      <c r="F845" s="30"/>
      <c r="I845" s="29"/>
      <c r="J845" s="29"/>
      <c r="L845" s="29"/>
    </row>
    <row r="846" ht="15.75" customHeight="1">
      <c r="C846" s="29"/>
      <c r="D846" s="30"/>
      <c r="F846" s="30"/>
      <c r="I846" s="29"/>
      <c r="J846" s="29"/>
      <c r="L846" s="29"/>
    </row>
    <row r="847" ht="15.75" customHeight="1">
      <c r="C847" s="29"/>
      <c r="D847" s="30"/>
      <c r="F847" s="30"/>
      <c r="I847" s="29"/>
      <c r="J847" s="29"/>
      <c r="L847" s="29"/>
    </row>
    <row r="848" ht="15.75" customHeight="1">
      <c r="C848" s="29"/>
      <c r="D848" s="30"/>
      <c r="F848" s="30"/>
      <c r="I848" s="29"/>
      <c r="J848" s="29"/>
      <c r="L848" s="29"/>
    </row>
    <row r="849" ht="15.75" customHeight="1">
      <c r="C849" s="29"/>
      <c r="D849" s="30"/>
      <c r="F849" s="30"/>
      <c r="I849" s="29"/>
      <c r="J849" s="29"/>
      <c r="L849" s="29"/>
    </row>
    <row r="850" ht="15.75" customHeight="1">
      <c r="C850" s="29"/>
      <c r="D850" s="30"/>
      <c r="F850" s="30"/>
      <c r="I850" s="29"/>
      <c r="J850" s="29"/>
      <c r="L850" s="29"/>
    </row>
    <row r="851" ht="15.75" customHeight="1">
      <c r="C851" s="29"/>
      <c r="D851" s="30"/>
      <c r="F851" s="30"/>
      <c r="I851" s="29"/>
      <c r="J851" s="29"/>
      <c r="L851" s="29"/>
    </row>
    <row r="852" ht="15.75" customHeight="1">
      <c r="C852" s="29"/>
      <c r="D852" s="30"/>
      <c r="F852" s="30"/>
      <c r="I852" s="29"/>
      <c r="J852" s="29"/>
      <c r="L852" s="29"/>
    </row>
    <row r="853" ht="15.75" customHeight="1">
      <c r="C853" s="29"/>
      <c r="D853" s="30"/>
      <c r="F853" s="30"/>
      <c r="I853" s="29"/>
      <c r="J853" s="29"/>
      <c r="L853" s="29"/>
    </row>
    <row r="854" ht="15.75" customHeight="1">
      <c r="C854" s="29"/>
      <c r="D854" s="30"/>
      <c r="F854" s="30"/>
      <c r="I854" s="29"/>
      <c r="J854" s="29"/>
      <c r="L854" s="29"/>
    </row>
    <row r="855" ht="15.75" customHeight="1">
      <c r="C855" s="29"/>
      <c r="D855" s="30"/>
      <c r="F855" s="30"/>
      <c r="I855" s="29"/>
      <c r="J855" s="29"/>
      <c r="L855" s="29"/>
    </row>
    <row r="856" ht="15.75" customHeight="1">
      <c r="C856" s="29"/>
      <c r="D856" s="30"/>
      <c r="F856" s="30"/>
      <c r="I856" s="29"/>
      <c r="J856" s="29"/>
      <c r="L856" s="29"/>
    </row>
    <row r="857" ht="15.75" customHeight="1">
      <c r="C857" s="29"/>
      <c r="D857" s="30"/>
      <c r="F857" s="30"/>
      <c r="I857" s="29"/>
      <c r="J857" s="29"/>
      <c r="L857" s="29"/>
    </row>
    <row r="858" ht="15.75" customHeight="1">
      <c r="C858" s="29"/>
      <c r="D858" s="30"/>
      <c r="F858" s="30"/>
      <c r="I858" s="29"/>
      <c r="J858" s="29"/>
      <c r="L858" s="29"/>
    </row>
    <row r="859" ht="15.75" customHeight="1">
      <c r="C859" s="29"/>
      <c r="D859" s="30"/>
      <c r="F859" s="30"/>
      <c r="I859" s="29"/>
      <c r="J859" s="29"/>
      <c r="L859" s="29"/>
    </row>
    <row r="860" ht="15.75" customHeight="1">
      <c r="C860" s="29"/>
      <c r="D860" s="30"/>
      <c r="F860" s="30"/>
      <c r="I860" s="29"/>
      <c r="J860" s="29"/>
      <c r="L860" s="29"/>
    </row>
    <row r="861" ht="15.75" customHeight="1">
      <c r="C861" s="29"/>
      <c r="D861" s="30"/>
      <c r="F861" s="30"/>
      <c r="I861" s="29"/>
      <c r="J861" s="29"/>
      <c r="L861" s="29"/>
    </row>
    <row r="862" ht="15.75" customHeight="1">
      <c r="C862" s="29"/>
      <c r="D862" s="30"/>
      <c r="F862" s="30"/>
      <c r="I862" s="29"/>
      <c r="J862" s="29"/>
      <c r="L862" s="29"/>
    </row>
    <row r="863" ht="15.75" customHeight="1">
      <c r="C863" s="29"/>
      <c r="D863" s="30"/>
      <c r="F863" s="30"/>
      <c r="I863" s="29"/>
      <c r="J863" s="29"/>
      <c r="L863" s="29"/>
    </row>
    <row r="864" ht="15.75" customHeight="1">
      <c r="C864" s="29"/>
      <c r="D864" s="30"/>
      <c r="F864" s="30"/>
      <c r="I864" s="29"/>
      <c r="J864" s="29"/>
      <c r="L864" s="29"/>
    </row>
    <row r="865" ht="15.75" customHeight="1">
      <c r="C865" s="29"/>
      <c r="D865" s="30"/>
      <c r="F865" s="30"/>
      <c r="I865" s="29"/>
      <c r="J865" s="29"/>
      <c r="L865" s="29"/>
    </row>
    <row r="866" ht="15.75" customHeight="1">
      <c r="C866" s="29"/>
      <c r="D866" s="30"/>
      <c r="F866" s="30"/>
      <c r="I866" s="29"/>
      <c r="J866" s="29"/>
      <c r="L866" s="29"/>
    </row>
    <row r="867" ht="15.75" customHeight="1">
      <c r="C867" s="29"/>
      <c r="D867" s="30"/>
      <c r="F867" s="30"/>
      <c r="I867" s="29"/>
      <c r="J867" s="29"/>
      <c r="L867" s="29"/>
    </row>
    <row r="868" ht="15.75" customHeight="1">
      <c r="C868" s="29"/>
      <c r="D868" s="30"/>
      <c r="F868" s="30"/>
      <c r="I868" s="29"/>
      <c r="J868" s="29"/>
      <c r="L868" s="29"/>
    </row>
    <row r="869" ht="15.75" customHeight="1">
      <c r="C869" s="29"/>
      <c r="D869" s="30"/>
      <c r="F869" s="30"/>
      <c r="I869" s="29"/>
      <c r="J869" s="29"/>
      <c r="L869" s="29"/>
    </row>
    <row r="870" ht="15.75" customHeight="1">
      <c r="C870" s="29"/>
      <c r="D870" s="30"/>
      <c r="F870" s="30"/>
      <c r="I870" s="29"/>
      <c r="J870" s="29"/>
      <c r="L870" s="29"/>
    </row>
    <row r="871" ht="15.75" customHeight="1">
      <c r="C871" s="29"/>
      <c r="D871" s="30"/>
      <c r="F871" s="30"/>
      <c r="I871" s="29"/>
      <c r="J871" s="29"/>
      <c r="L871" s="29"/>
    </row>
    <row r="872" ht="15.75" customHeight="1">
      <c r="C872" s="29"/>
      <c r="D872" s="30"/>
      <c r="F872" s="30"/>
      <c r="I872" s="29"/>
      <c r="J872" s="29"/>
      <c r="L872" s="29"/>
    </row>
    <row r="873" ht="15.75" customHeight="1">
      <c r="C873" s="29"/>
      <c r="D873" s="30"/>
      <c r="F873" s="30"/>
      <c r="I873" s="29"/>
      <c r="J873" s="29"/>
      <c r="L873" s="29"/>
    </row>
    <row r="874" ht="15.75" customHeight="1">
      <c r="C874" s="29"/>
      <c r="D874" s="30"/>
      <c r="F874" s="30"/>
      <c r="I874" s="29"/>
      <c r="J874" s="29"/>
      <c r="L874" s="29"/>
    </row>
    <row r="875" ht="15.75" customHeight="1">
      <c r="C875" s="29"/>
      <c r="D875" s="30"/>
      <c r="F875" s="30"/>
      <c r="I875" s="29"/>
      <c r="J875" s="29"/>
      <c r="L875" s="29"/>
    </row>
    <row r="876" ht="15.75" customHeight="1">
      <c r="C876" s="29"/>
      <c r="D876" s="30"/>
      <c r="F876" s="30"/>
      <c r="I876" s="29"/>
      <c r="J876" s="29"/>
      <c r="L876" s="29"/>
    </row>
    <row r="877" ht="15.75" customHeight="1">
      <c r="C877" s="29"/>
      <c r="D877" s="30"/>
      <c r="F877" s="30"/>
      <c r="I877" s="29"/>
      <c r="J877" s="29"/>
      <c r="L877" s="29"/>
    </row>
    <row r="878" ht="15.75" customHeight="1">
      <c r="C878" s="29"/>
      <c r="D878" s="30"/>
      <c r="F878" s="30"/>
      <c r="I878" s="29"/>
      <c r="J878" s="29"/>
      <c r="L878" s="29"/>
    </row>
    <row r="879" ht="15.75" customHeight="1">
      <c r="C879" s="29"/>
      <c r="D879" s="30"/>
      <c r="F879" s="30"/>
      <c r="I879" s="29"/>
      <c r="J879" s="29"/>
      <c r="L879" s="29"/>
    </row>
    <row r="880" ht="15.75" customHeight="1">
      <c r="C880" s="29"/>
      <c r="D880" s="30"/>
      <c r="F880" s="30"/>
      <c r="I880" s="29"/>
      <c r="J880" s="29"/>
      <c r="L880" s="29"/>
    </row>
    <row r="881" ht="15.75" customHeight="1">
      <c r="C881" s="29"/>
      <c r="D881" s="30"/>
      <c r="F881" s="30"/>
      <c r="I881" s="29"/>
      <c r="J881" s="29"/>
      <c r="L881" s="29"/>
    </row>
    <row r="882" ht="15.75" customHeight="1">
      <c r="C882" s="29"/>
      <c r="D882" s="30"/>
      <c r="F882" s="30"/>
      <c r="I882" s="29"/>
      <c r="J882" s="29"/>
      <c r="L882" s="29"/>
    </row>
    <row r="883" ht="15.75" customHeight="1">
      <c r="C883" s="29"/>
      <c r="D883" s="30"/>
      <c r="F883" s="30"/>
      <c r="I883" s="29"/>
      <c r="J883" s="29"/>
      <c r="L883" s="29"/>
    </row>
    <row r="884" ht="15.75" customHeight="1">
      <c r="C884" s="29"/>
      <c r="D884" s="30"/>
      <c r="F884" s="30"/>
      <c r="I884" s="29"/>
      <c r="J884" s="29"/>
      <c r="L884" s="29"/>
    </row>
    <row r="885" ht="15.75" customHeight="1">
      <c r="C885" s="29"/>
      <c r="D885" s="30"/>
      <c r="F885" s="30"/>
      <c r="I885" s="29"/>
      <c r="J885" s="29"/>
      <c r="L885" s="29"/>
    </row>
    <row r="886" ht="15.75" customHeight="1">
      <c r="C886" s="29"/>
      <c r="D886" s="30"/>
      <c r="F886" s="30"/>
      <c r="I886" s="29"/>
      <c r="J886" s="29"/>
      <c r="L886" s="29"/>
    </row>
    <row r="887" ht="15.75" customHeight="1">
      <c r="C887" s="29"/>
      <c r="D887" s="30"/>
      <c r="F887" s="30"/>
      <c r="I887" s="29"/>
      <c r="J887" s="29"/>
      <c r="L887" s="29"/>
    </row>
    <row r="888" ht="15.75" customHeight="1">
      <c r="C888" s="29"/>
      <c r="D888" s="30"/>
      <c r="F888" s="30"/>
      <c r="I888" s="29"/>
      <c r="J888" s="29"/>
      <c r="L888" s="29"/>
    </row>
    <row r="889" ht="15.75" customHeight="1">
      <c r="C889" s="29"/>
      <c r="D889" s="30"/>
      <c r="F889" s="30"/>
      <c r="I889" s="29"/>
      <c r="J889" s="29"/>
      <c r="L889" s="29"/>
    </row>
    <row r="890" ht="15.75" customHeight="1">
      <c r="C890" s="29"/>
      <c r="D890" s="30"/>
      <c r="F890" s="30"/>
      <c r="I890" s="29"/>
      <c r="J890" s="29"/>
      <c r="L890" s="29"/>
    </row>
    <row r="891" ht="15.75" customHeight="1">
      <c r="C891" s="29"/>
      <c r="D891" s="30"/>
      <c r="F891" s="30"/>
      <c r="I891" s="29"/>
      <c r="J891" s="29"/>
      <c r="L891" s="29"/>
    </row>
    <row r="892" ht="15.75" customHeight="1">
      <c r="C892" s="29"/>
      <c r="D892" s="30"/>
      <c r="F892" s="30"/>
      <c r="I892" s="29"/>
      <c r="J892" s="29"/>
      <c r="L892" s="29"/>
    </row>
    <row r="893" ht="15.75" customHeight="1">
      <c r="C893" s="29"/>
      <c r="D893" s="30"/>
      <c r="F893" s="30"/>
      <c r="I893" s="29"/>
      <c r="J893" s="29"/>
      <c r="L893" s="29"/>
    </row>
    <row r="894" ht="15.75" customHeight="1">
      <c r="C894" s="29"/>
      <c r="D894" s="30"/>
      <c r="F894" s="30"/>
      <c r="I894" s="29"/>
      <c r="J894" s="29"/>
      <c r="L894" s="29"/>
    </row>
    <row r="895" ht="15.75" customHeight="1">
      <c r="C895" s="29"/>
      <c r="D895" s="30"/>
      <c r="F895" s="30"/>
      <c r="I895" s="29"/>
      <c r="J895" s="29"/>
      <c r="L895" s="29"/>
    </row>
    <row r="896" ht="15.75" customHeight="1">
      <c r="C896" s="29"/>
      <c r="D896" s="30"/>
      <c r="F896" s="30"/>
      <c r="I896" s="29"/>
      <c r="J896" s="29"/>
      <c r="L896" s="29"/>
    </row>
    <row r="897" ht="15.75" customHeight="1">
      <c r="C897" s="29"/>
      <c r="D897" s="30"/>
      <c r="F897" s="30"/>
      <c r="I897" s="29"/>
      <c r="J897" s="29"/>
      <c r="L897" s="29"/>
    </row>
    <row r="898" ht="15.75" customHeight="1">
      <c r="C898" s="29"/>
      <c r="D898" s="30"/>
      <c r="F898" s="30"/>
      <c r="I898" s="29"/>
      <c r="J898" s="29"/>
      <c r="L898" s="29"/>
    </row>
    <row r="899" ht="15.75" customHeight="1">
      <c r="C899" s="29"/>
      <c r="D899" s="30"/>
      <c r="F899" s="30"/>
      <c r="I899" s="29"/>
      <c r="J899" s="29"/>
      <c r="L899" s="29"/>
    </row>
    <row r="900" ht="15.75" customHeight="1">
      <c r="C900" s="29"/>
      <c r="D900" s="30"/>
      <c r="F900" s="30"/>
      <c r="I900" s="29"/>
      <c r="J900" s="29"/>
      <c r="L900" s="29"/>
    </row>
    <row r="901" ht="15.75" customHeight="1">
      <c r="C901" s="29"/>
      <c r="D901" s="30"/>
      <c r="F901" s="30"/>
      <c r="I901" s="29"/>
      <c r="J901" s="29"/>
      <c r="L901" s="29"/>
    </row>
    <row r="902" ht="15.75" customHeight="1">
      <c r="C902" s="29"/>
      <c r="D902" s="30"/>
      <c r="F902" s="30"/>
      <c r="I902" s="29"/>
      <c r="J902" s="29"/>
      <c r="L902" s="29"/>
    </row>
    <row r="903" ht="15.75" customHeight="1">
      <c r="C903" s="29"/>
      <c r="D903" s="30"/>
      <c r="F903" s="30"/>
      <c r="I903" s="29"/>
      <c r="J903" s="29"/>
      <c r="L903" s="29"/>
    </row>
    <row r="904" ht="15.75" customHeight="1">
      <c r="C904" s="29"/>
      <c r="D904" s="30"/>
      <c r="F904" s="30"/>
      <c r="I904" s="29"/>
      <c r="J904" s="29"/>
      <c r="L904" s="29"/>
    </row>
    <row r="905" ht="15.75" customHeight="1">
      <c r="C905" s="29"/>
      <c r="D905" s="30"/>
      <c r="F905" s="30"/>
      <c r="I905" s="29"/>
      <c r="J905" s="29"/>
      <c r="L905" s="29"/>
    </row>
    <row r="906" ht="15.75" customHeight="1">
      <c r="C906" s="29"/>
      <c r="D906" s="30"/>
      <c r="F906" s="30"/>
      <c r="I906" s="29"/>
      <c r="J906" s="29"/>
      <c r="L906" s="29"/>
    </row>
    <row r="907" ht="15.75" customHeight="1">
      <c r="C907" s="29"/>
      <c r="D907" s="30"/>
      <c r="F907" s="30"/>
      <c r="I907" s="29"/>
      <c r="J907" s="29"/>
      <c r="L907" s="29"/>
    </row>
    <row r="908" ht="15.75" customHeight="1">
      <c r="C908" s="29"/>
      <c r="D908" s="30"/>
      <c r="F908" s="30"/>
      <c r="I908" s="29"/>
      <c r="J908" s="29"/>
      <c r="L908" s="29"/>
    </row>
    <row r="909" ht="15.75" customHeight="1">
      <c r="C909" s="29"/>
      <c r="D909" s="30"/>
      <c r="F909" s="30"/>
      <c r="I909" s="29"/>
      <c r="J909" s="29"/>
      <c r="L909" s="29"/>
    </row>
    <row r="910" ht="15.75" customHeight="1">
      <c r="C910" s="29"/>
      <c r="D910" s="30"/>
      <c r="F910" s="30"/>
      <c r="I910" s="29"/>
      <c r="J910" s="29"/>
      <c r="L910" s="29"/>
    </row>
    <row r="911" ht="15.75" customHeight="1">
      <c r="C911" s="29"/>
      <c r="D911" s="30"/>
      <c r="F911" s="30"/>
      <c r="I911" s="29"/>
      <c r="J911" s="29"/>
      <c r="L911" s="29"/>
    </row>
    <row r="912" ht="15.75" customHeight="1">
      <c r="C912" s="29"/>
      <c r="D912" s="30"/>
      <c r="F912" s="30"/>
      <c r="I912" s="29"/>
      <c r="J912" s="29"/>
      <c r="L912" s="29"/>
    </row>
    <row r="913" ht="15.75" customHeight="1">
      <c r="C913" s="29"/>
      <c r="D913" s="30"/>
      <c r="F913" s="30"/>
      <c r="I913" s="29"/>
      <c r="J913" s="29"/>
      <c r="L913" s="29"/>
    </row>
    <row r="914" ht="15.75" customHeight="1">
      <c r="C914" s="29"/>
      <c r="D914" s="30"/>
      <c r="F914" s="30"/>
      <c r="I914" s="29"/>
      <c r="J914" s="29"/>
      <c r="L914" s="29"/>
    </row>
    <row r="915" ht="15.75" customHeight="1">
      <c r="C915" s="29"/>
      <c r="D915" s="30"/>
      <c r="F915" s="30"/>
      <c r="I915" s="29"/>
      <c r="J915" s="29"/>
      <c r="L915" s="29"/>
    </row>
    <row r="916" ht="15.75" customHeight="1">
      <c r="C916" s="29"/>
      <c r="D916" s="30"/>
      <c r="F916" s="30"/>
      <c r="I916" s="29"/>
      <c r="J916" s="29"/>
      <c r="L916" s="29"/>
    </row>
    <row r="917" ht="15.75" customHeight="1">
      <c r="C917" s="29"/>
      <c r="D917" s="30"/>
      <c r="F917" s="30"/>
      <c r="I917" s="29"/>
      <c r="J917" s="29"/>
      <c r="L917" s="29"/>
    </row>
    <row r="918" ht="15.75" customHeight="1">
      <c r="C918" s="29"/>
      <c r="D918" s="30"/>
      <c r="F918" s="30"/>
      <c r="I918" s="29"/>
      <c r="J918" s="29"/>
      <c r="L918" s="29"/>
    </row>
    <row r="919" ht="15.75" customHeight="1">
      <c r="C919" s="29"/>
      <c r="D919" s="30"/>
      <c r="F919" s="30"/>
      <c r="I919" s="29"/>
      <c r="J919" s="29"/>
      <c r="L919" s="29"/>
    </row>
    <row r="920" ht="15.75" customHeight="1">
      <c r="C920" s="29"/>
      <c r="D920" s="30"/>
      <c r="F920" s="30"/>
      <c r="I920" s="29"/>
      <c r="J920" s="29"/>
      <c r="L920" s="29"/>
    </row>
    <row r="921" ht="15.75" customHeight="1">
      <c r="C921" s="29"/>
      <c r="D921" s="30"/>
      <c r="F921" s="30"/>
      <c r="I921" s="29"/>
      <c r="J921" s="29"/>
      <c r="L921" s="29"/>
    </row>
    <row r="922" ht="15.75" customHeight="1">
      <c r="C922" s="29"/>
      <c r="D922" s="30"/>
      <c r="F922" s="30"/>
      <c r="I922" s="29"/>
      <c r="J922" s="29"/>
      <c r="L922" s="29"/>
    </row>
    <row r="923" ht="15.75" customHeight="1">
      <c r="C923" s="29"/>
      <c r="D923" s="30"/>
      <c r="F923" s="30"/>
      <c r="I923" s="29"/>
      <c r="J923" s="29"/>
      <c r="L923" s="29"/>
    </row>
    <row r="924" ht="15.75" customHeight="1">
      <c r="C924" s="29"/>
      <c r="D924" s="30"/>
      <c r="F924" s="30"/>
      <c r="I924" s="29"/>
      <c r="J924" s="29"/>
      <c r="L924" s="29"/>
    </row>
    <row r="925" ht="15.75" customHeight="1">
      <c r="C925" s="29"/>
      <c r="D925" s="30"/>
      <c r="F925" s="30"/>
      <c r="I925" s="29"/>
      <c r="J925" s="29"/>
      <c r="L925" s="29"/>
    </row>
    <row r="926" ht="15.75" customHeight="1">
      <c r="C926" s="29"/>
      <c r="D926" s="30"/>
      <c r="F926" s="30"/>
      <c r="I926" s="29"/>
      <c r="J926" s="29"/>
      <c r="L926" s="29"/>
    </row>
    <row r="927" ht="15.75" customHeight="1">
      <c r="C927" s="29"/>
      <c r="D927" s="30"/>
      <c r="F927" s="30"/>
      <c r="I927" s="29"/>
      <c r="J927" s="29"/>
      <c r="L927" s="29"/>
    </row>
    <row r="928" ht="15.75" customHeight="1">
      <c r="C928" s="29"/>
      <c r="D928" s="30"/>
      <c r="F928" s="30"/>
      <c r="I928" s="29"/>
      <c r="J928" s="29"/>
      <c r="L928" s="29"/>
    </row>
    <row r="929" ht="15.75" customHeight="1">
      <c r="C929" s="29"/>
      <c r="D929" s="30"/>
      <c r="F929" s="30"/>
      <c r="I929" s="29"/>
      <c r="J929" s="29"/>
      <c r="L929" s="29"/>
    </row>
    <row r="930" ht="15.75" customHeight="1">
      <c r="C930" s="29"/>
      <c r="D930" s="30"/>
      <c r="F930" s="30"/>
      <c r="I930" s="29"/>
      <c r="J930" s="29"/>
      <c r="L930" s="29"/>
    </row>
    <row r="931" ht="15.75" customHeight="1">
      <c r="C931" s="29"/>
      <c r="D931" s="30"/>
      <c r="F931" s="30"/>
      <c r="I931" s="29"/>
      <c r="J931" s="29"/>
      <c r="L931" s="29"/>
    </row>
    <row r="932" ht="15.75" customHeight="1">
      <c r="C932" s="29"/>
      <c r="D932" s="30"/>
      <c r="F932" s="30"/>
      <c r="I932" s="29"/>
      <c r="J932" s="29"/>
      <c r="L932" s="29"/>
    </row>
    <row r="933" ht="15.75" customHeight="1">
      <c r="C933" s="29"/>
      <c r="D933" s="30"/>
      <c r="F933" s="30"/>
      <c r="I933" s="29"/>
      <c r="J933" s="29"/>
      <c r="L933" s="29"/>
    </row>
    <row r="934" ht="15.75" customHeight="1">
      <c r="C934" s="29"/>
      <c r="D934" s="30"/>
      <c r="F934" s="30"/>
      <c r="I934" s="29"/>
      <c r="J934" s="29"/>
      <c r="L934" s="29"/>
    </row>
    <row r="935" ht="15.75" customHeight="1">
      <c r="C935" s="29"/>
      <c r="D935" s="30"/>
      <c r="F935" s="30"/>
      <c r="I935" s="29"/>
      <c r="J935" s="29"/>
      <c r="L935" s="29"/>
    </row>
    <row r="936" ht="15.75" customHeight="1">
      <c r="C936" s="29"/>
      <c r="D936" s="30"/>
      <c r="F936" s="30"/>
      <c r="I936" s="29"/>
      <c r="J936" s="29"/>
      <c r="L936" s="29"/>
    </row>
    <row r="937" ht="15.75" customHeight="1">
      <c r="C937" s="29"/>
      <c r="D937" s="30"/>
      <c r="F937" s="30"/>
      <c r="I937" s="29"/>
      <c r="J937" s="29"/>
      <c r="L937" s="29"/>
    </row>
    <row r="938" ht="15.75" customHeight="1">
      <c r="C938" s="29"/>
      <c r="D938" s="30"/>
      <c r="F938" s="30"/>
      <c r="I938" s="29"/>
      <c r="J938" s="29"/>
      <c r="L938" s="29"/>
    </row>
    <row r="939" ht="15.75" customHeight="1">
      <c r="C939" s="29"/>
      <c r="D939" s="30"/>
      <c r="F939" s="30"/>
      <c r="I939" s="29"/>
      <c r="J939" s="29"/>
      <c r="L939" s="29"/>
    </row>
    <row r="940" ht="15.75" customHeight="1">
      <c r="C940" s="29"/>
      <c r="D940" s="30"/>
      <c r="F940" s="30"/>
      <c r="I940" s="29"/>
      <c r="J940" s="29"/>
      <c r="L940" s="29"/>
    </row>
    <row r="941" ht="15.75" customHeight="1">
      <c r="C941" s="29"/>
      <c r="D941" s="30"/>
      <c r="F941" s="30"/>
      <c r="I941" s="29"/>
      <c r="J941" s="29"/>
      <c r="L941" s="29"/>
    </row>
    <row r="942" ht="15.75" customHeight="1">
      <c r="C942" s="29"/>
      <c r="D942" s="30"/>
      <c r="F942" s="30"/>
      <c r="I942" s="29"/>
      <c r="J942" s="29"/>
      <c r="L942" s="29"/>
    </row>
    <row r="943" ht="15.75" customHeight="1">
      <c r="C943" s="29"/>
      <c r="D943" s="30"/>
      <c r="F943" s="30"/>
      <c r="I943" s="29"/>
      <c r="J943" s="29"/>
      <c r="L943" s="29"/>
    </row>
    <row r="944" ht="15.75" customHeight="1">
      <c r="C944" s="29"/>
      <c r="D944" s="30"/>
      <c r="F944" s="30"/>
      <c r="I944" s="29"/>
      <c r="J944" s="29"/>
      <c r="L944" s="29"/>
    </row>
    <row r="945" ht="15.75" customHeight="1">
      <c r="C945" s="29"/>
      <c r="D945" s="30"/>
      <c r="F945" s="30"/>
      <c r="I945" s="29"/>
      <c r="J945" s="29"/>
      <c r="L945" s="29"/>
    </row>
    <row r="946" ht="15.75" customHeight="1">
      <c r="C946" s="29"/>
      <c r="D946" s="30"/>
      <c r="F946" s="30"/>
      <c r="I946" s="29"/>
      <c r="J946" s="29"/>
      <c r="L946" s="29"/>
    </row>
    <row r="947" ht="15.75" customHeight="1">
      <c r="C947" s="29"/>
      <c r="D947" s="30"/>
      <c r="F947" s="30"/>
      <c r="I947" s="29"/>
      <c r="J947" s="29"/>
      <c r="L947" s="29"/>
    </row>
    <row r="948" ht="15.75" customHeight="1">
      <c r="C948" s="29"/>
      <c r="D948" s="30"/>
      <c r="F948" s="30"/>
      <c r="I948" s="29"/>
      <c r="J948" s="29"/>
      <c r="L948" s="29"/>
    </row>
    <row r="949" ht="15.75" customHeight="1">
      <c r="C949" s="29"/>
      <c r="D949" s="30"/>
      <c r="F949" s="30"/>
      <c r="I949" s="29"/>
      <c r="J949" s="29"/>
      <c r="L949" s="29"/>
    </row>
    <row r="950" ht="15.75" customHeight="1">
      <c r="C950" s="29"/>
      <c r="D950" s="30"/>
      <c r="F950" s="30"/>
      <c r="I950" s="29"/>
      <c r="J950" s="29"/>
      <c r="L950" s="29"/>
    </row>
    <row r="951" ht="15.75" customHeight="1">
      <c r="C951" s="29"/>
      <c r="D951" s="30"/>
      <c r="F951" s="30"/>
      <c r="I951" s="29"/>
      <c r="J951" s="29"/>
      <c r="L951" s="29"/>
    </row>
    <row r="952" ht="15.75" customHeight="1">
      <c r="C952" s="29"/>
      <c r="D952" s="30"/>
      <c r="F952" s="30"/>
      <c r="I952" s="29"/>
      <c r="J952" s="29"/>
      <c r="L952" s="29"/>
    </row>
    <row r="953" ht="15.75" customHeight="1">
      <c r="C953" s="29"/>
      <c r="D953" s="30"/>
      <c r="F953" s="30"/>
      <c r="I953" s="29"/>
      <c r="J953" s="29"/>
      <c r="L953" s="29"/>
    </row>
    <row r="954" ht="15.75" customHeight="1">
      <c r="C954" s="29"/>
      <c r="D954" s="30"/>
      <c r="F954" s="30"/>
      <c r="I954" s="29"/>
      <c r="J954" s="29"/>
      <c r="L954" s="29"/>
    </row>
    <row r="955" ht="15.75" customHeight="1">
      <c r="C955" s="29"/>
      <c r="D955" s="30"/>
      <c r="F955" s="30"/>
      <c r="I955" s="29"/>
      <c r="J955" s="29"/>
      <c r="L955" s="29"/>
    </row>
    <row r="956" ht="15.75" customHeight="1">
      <c r="C956" s="29"/>
      <c r="D956" s="30"/>
      <c r="F956" s="30"/>
      <c r="I956" s="29"/>
      <c r="J956" s="29"/>
      <c r="L956" s="29"/>
    </row>
    <row r="957" ht="15.75" customHeight="1">
      <c r="C957" s="29"/>
      <c r="D957" s="30"/>
      <c r="F957" s="30"/>
      <c r="I957" s="29"/>
      <c r="J957" s="29"/>
      <c r="L957" s="29"/>
    </row>
    <row r="958" ht="15.75" customHeight="1">
      <c r="C958" s="29"/>
      <c r="D958" s="30"/>
      <c r="F958" s="30"/>
      <c r="I958" s="29"/>
      <c r="J958" s="29"/>
      <c r="L958" s="29"/>
    </row>
    <row r="959" ht="15.75" customHeight="1">
      <c r="C959" s="29"/>
      <c r="D959" s="30"/>
      <c r="F959" s="30"/>
      <c r="I959" s="29"/>
      <c r="J959" s="29"/>
      <c r="L959" s="29"/>
    </row>
    <row r="960" ht="15.75" customHeight="1">
      <c r="C960" s="29"/>
      <c r="D960" s="30"/>
      <c r="F960" s="30"/>
      <c r="I960" s="29"/>
      <c r="J960" s="29"/>
      <c r="L960" s="29"/>
    </row>
    <row r="961" ht="15.75" customHeight="1">
      <c r="C961" s="29"/>
      <c r="D961" s="30"/>
      <c r="F961" s="30"/>
      <c r="I961" s="29"/>
      <c r="J961" s="29"/>
      <c r="L961" s="29"/>
    </row>
    <row r="962" ht="15.75" customHeight="1">
      <c r="C962" s="29"/>
      <c r="D962" s="30"/>
      <c r="F962" s="30"/>
      <c r="I962" s="29"/>
      <c r="J962" s="29"/>
      <c r="L962" s="29"/>
    </row>
    <row r="963" ht="15.75" customHeight="1">
      <c r="C963" s="29"/>
      <c r="D963" s="30"/>
      <c r="F963" s="30"/>
      <c r="I963" s="29"/>
      <c r="J963" s="29"/>
      <c r="L963" s="29"/>
    </row>
    <row r="964" ht="15.75" customHeight="1">
      <c r="C964" s="29"/>
      <c r="D964" s="30"/>
      <c r="F964" s="30"/>
      <c r="I964" s="29"/>
      <c r="J964" s="29"/>
      <c r="L964" s="29"/>
    </row>
    <row r="965" ht="15.75" customHeight="1">
      <c r="C965" s="29"/>
      <c r="D965" s="30"/>
      <c r="F965" s="30"/>
      <c r="I965" s="29"/>
      <c r="J965" s="29"/>
      <c r="L965" s="29"/>
    </row>
    <row r="966" ht="15.75" customHeight="1">
      <c r="C966" s="29"/>
      <c r="D966" s="30"/>
      <c r="F966" s="30"/>
      <c r="I966" s="29"/>
      <c r="J966" s="29"/>
      <c r="L966" s="29"/>
    </row>
    <row r="967" ht="15.75" customHeight="1">
      <c r="C967" s="29"/>
      <c r="D967" s="30"/>
      <c r="F967" s="30"/>
      <c r="I967" s="29"/>
      <c r="J967" s="29"/>
      <c r="L967" s="29"/>
    </row>
    <row r="968" ht="15.75" customHeight="1">
      <c r="C968" s="29"/>
      <c r="D968" s="30"/>
      <c r="F968" s="30"/>
      <c r="I968" s="29"/>
      <c r="J968" s="29"/>
      <c r="L968" s="29"/>
    </row>
    <row r="969" ht="15.75" customHeight="1">
      <c r="C969" s="29"/>
      <c r="D969" s="30"/>
      <c r="F969" s="30"/>
      <c r="I969" s="29"/>
      <c r="J969" s="29"/>
      <c r="L969" s="29"/>
    </row>
    <row r="970" ht="15.75" customHeight="1">
      <c r="C970" s="29"/>
      <c r="D970" s="30"/>
      <c r="F970" s="30"/>
      <c r="I970" s="29"/>
      <c r="J970" s="29"/>
      <c r="L970" s="29"/>
    </row>
    <row r="971" ht="15.75" customHeight="1">
      <c r="C971" s="29"/>
      <c r="D971" s="30"/>
      <c r="F971" s="30"/>
      <c r="I971" s="29"/>
      <c r="J971" s="29"/>
      <c r="L971" s="29"/>
    </row>
    <row r="972" ht="15.75" customHeight="1">
      <c r="C972" s="29"/>
      <c r="D972" s="30"/>
      <c r="F972" s="30"/>
      <c r="I972" s="29"/>
      <c r="J972" s="29"/>
      <c r="L972" s="29"/>
    </row>
    <row r="973" ht="15.75" customHeight="1">
      <c r="C973" s="29"/>
      <c r="D973" s="30"/>
      <c r="F973" s="30"/>
      <c r="I973" s="29"/>
      <c r="J973" s="29"/>
      <c r="L973" s="29"/>
    </row>
    <row r="974" ht="15.75" customHeight="1">
      <c r="C974" s="29"/>
      <c r="D974" s="30"/>
      <c r="F974" s="30"/>
      <c r="I974" s="29"/>
      <c r="J974" s="29"/>
      <c r="L974" s="29"/>
    </row>
    <row r="975" ht="15.75" customHeight="1">
      <c r="C975" s="29"/>
      <c r="D975" s="30"/>
      <c r="F975" s="30"/>
      <c r="I975" s="29"/>
      <c r="J975" s="29"/>
      <c r="L975" s="29"/>
    </row>
    <row r="976" ht="15.75" customHeight="1">
      <c r="C976" s="29"/>
      <c r="D976" s="30"/>
      <c r="F976" s="30"/>
      <c r="I976" s="29"/>
      <c r="J976" s="29"/>
      <c r="L976" s="29"/>
    </row>
    <row r="977" ht="15.75" customHeight="1">
      <c r="C977" s="29"/>
      <c r="D977" s="30"/>
      <c r="F977" s="30"/>
      <c r="I977" s="29"/>
      <c r="J977" s="29"/>
      <c r="L977" s="29"/>
    </row>
    <row r="978" ht="15.75" customHeight="1">
      <c r="C978" s="29"/>
      <c r="D978" s="30"/>
      <c r="F978" s="30"/>
      <c r="I978" s="29"/>
      <c r="J978" s="29"/>
      <c r="L978" s="29"/>
    </row>
    <row r="979" ht="15.75" customHeight="1">
      <c r="C979" s="29"/>
      <c r="D979" s="30"/>
      <c r="F979" s="30"/>
      <c r="I979" s="29"/>
      <c r="J979" s="29"/>
      <c r="L979" s="29"/>
    </row>
    <row r="980" ht="15.75" customHeight="1">
      <c r="C980" s="29"/>
      <c r="D980" s="30"/>
      <c r="F980" s="30"/>
      <c r="I980" s="29"/>
      <c r="J980" s="29"/>
      <c r="L980" s="29"/>
    </row>
    <row r="981" ht="15.75" customHeight="1">
      <c r="C981" s="29"/>
      <c r="D981" s="30"/>
      <c r="F981" s="30"/>
      <c r="I981" s="29"/>
      <c r="J981" s="29"/>
      <c r="L981" s="29"/>
    </row>
    <row r="982" ht="15.75" customHeight="1">
      <c r="C982" s="29"/>
      <c r="D982" s="30"/>
      <c r="F982" s="30"/>
      <c r="I982" s="29"/>
      <c r="J982" s="29"/>
      <c r="L982" s="29"/>
    </row>
    <row r="983" ht="15.75" customHeight="1">
      <c r="C983" s="29"/>
      <c r="D983" s="30"/>
      <c r="F983" s="30"/>
      <c r="I983" s="29"/>
      <c r="J983" s="29"/>
      <c r="L983" s="29"/>
    </row>
    <row r="984" ht="15.75" customHeight="1">
      <c r="C984" s="29"/>
      <c r="D984" s="30"/>
      <c r="F984" s="30"/>
      <c r="I984" s="29"/>
      <c r="J984" s="29"/>
      <c r="L984" s="29"/>
    </row>
    <row r="985" ht="15.75" customHeight="1">
      <c r="C985" s="29"/>
      <c r="D985" s="30"/>
      <c r="F985" s="30"/>
      <c r="I985" s="29"/>
      <c r="J985" s="29"/>
      <c r="L985" s="29"/>
    </row>
    <row r="986" ht="15.75" customHeight="1">
      <c r="C986" s="29"/>
      <c r="D986" s="30"/>
      <c r="F986" s="30"/>
      <c r="I986" s="29"/>
      <c r="J986" s="29"/>
      <c r="L986" s="29"/>
    </row>
    <row r="987" ht="15.75" customHeight="1">
      <c r="C987" s="29"/>
      <c r="D987" s="30"/>
      <c r="F987" s="30"/>
      <c r="I987" s="29"/>
      <c r="J987" s="29"/>
      <c r="L987" s="29"/>
    </row>
    <row r="988" ht="15.75" customHeight="1">
      <c r="C988" s="29"/>
      <c r="D988" s="30"/>
      <c r="F988" s="30"/>
      <c r="I988" s="29"/>
      <c r="J988" s="29"/>
      <c r="L988" s="29"/>
    </row>
    <row r="989" ht="15.75" customHeight="1">
      <c r="C989" s="29"/>
      <c r="D989" s="30"/>
      <c r="F989" s="30"/>
      <c r="I989" s="29"/>
      <c r="J989" s="29"/>
      <c r="L989" s="29"/>
    </row>
    <row r="990" ht="15.75" customHeight="1">
      <c r="C990" s="29"/>
      <c r="D990" s="30"/>
      <c r="F990" s="30"/>
      <c r="I990" s="29"/>
      <c r="J990" s="29"/>
      <c r="L990" s="29"/>
    </row>
    <row r="991" ht="15.75" customHeight="1">
      <c r="C991" s="29"/>
      <c r="D991" s="30"/>
      <c r="F991" s="30"/>
      <c r="I991" s="29"/>
      <c r="J991" s="29"/>
      <c r="L991" s="29"/>
    </row>
    <row r="992" ht="15.75" customHeight="1">
      <c r="C992" s="29"/>
      <c r="D992" s="30"/>
      <c r="F992" s="30"/>
      <c r="I992" s="29"/>
      <c r="J992" s="29"/>
      <c r="L992" s="29"/>
    </row>
    <row r="993" ht="15.75" customHeight="1">
      <c r="C993" s="29"/>
      <c r="D993" s="30"/>
      <c r="F993" s="30"/>
      <c r="I993" s="29"/>
      <c r="J993" s="29"/>
      <c r="L993" s="29"/>
    </row>
    <row r="994" ht="15.75" customHeight="1">
      <c r="C994" s="29"/>
      <c r="D994" s="30"/>
      <c r="F994" s="30"/>
      <c r="I994" s="29"/>
      <c r="J994" s="29"/>
      <c r="L994" s="29"/>
    </row>
    <row r="995" ht="15.75" customHeight="1">
      <c r="C995" s="29"/>
      <c r="D995" s="30"/>
      <c r="F995" s="30"/>
      <c r="I995" s="29"/>
      <c r="J995" s="29"/>
      <c r="L995" s="29"/>
    </row>
    <row r="996" ht="15.75" customHeight="1">
      <c r="C996" s="29"/>
      <c r="D996" s="30"/>
      <c r="F996" s="30"/>
      <c r="I996" s="29"/>
      <c r="J996" s="29"/>
      <c r="L996" s="29"/>
    </row>
    <row r="997" ht="15.75" customHeight="1">
      <c r="C997" s="29"/>
      <c r="D997" s="30"/>
      <c r="F997" s="30"/>
      <c r="I997" s="29"/>
      <c r="J997" s="29"/>
      <c r="L997" s="29"/>
    </row>
    <row r="998" ht="15.75" customHeight="1">
      <c r="C998" s="29"/>
      <c r="D998" s="30"/>
      <c r="F998" s="30"/>
      <c r="I998" s="29"/>
      <c r="J998" s="29"/>
      <c r="L998" s="29"/>
    </row>
    <row r="999" ht="15.75" customHeight="1">
      <c r="C999" s="29"/>
      <c r="D999" s="30"/>
      <c r="F999" s="30"/>
      <c r="I999" s="29"/>
      <c r="J999" s="29"/>
      <c r="L999" s="29"/>
    </row>
    <row r="1000" ht="15.75" customHeight="1">
      <c r="C1000" s="29"/>
      <c r="D1000" s="30"/>
      <c r="F1000" s="30"/>
      <c r="I1000" s="29"/>
      <c r="J1000" s="29"/>
      <c r="L1000" s="29"/>
    </row>
  </sheetData>
  <mergeCells count="9">
    <mergeCell ref="B42:D42"/>
    <mergeCell ref="B52:D52"/>
    <mergeCell ref="B2:X2"/>
    <mergeCell ref="B7:C7"/>
    <mergeCell ref="B14:F14"/>
    <mergeCell ref="C15:H15"/>
    <mergeCell ref="B32:D32"/>
    <mergeCell ref="H32:J32"/>
    <mergeCell ref="H42:J4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67.29"/>
    <col customWidth="1" min="3" max="3" width="72.29"/>
    <col customWidth="1" min="4" max="6" width="9.14"/>
    <col customWidth="1" min="7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3" t="s">
        <v>0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9" t="s">
        <v>615</v>
      </c>
      <c r="C4" s="6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9" t="s">
        <v>616</v>
      </c>
      <c r="C5" s="70">
        <v>6.0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9" t="s">
        <v>617</v>
      </c>
      <c r="C6" s="6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9" t="s">
        <v>618</v>
      </c>
      <c r="C7" s="6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"/>
      <c r="B9" s="71" t="s">
        <v>619</v>
      </c>
      <c r="C9" s="7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73" t="s">
        <v>620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74" t="s">
        <v>621</v>
      </c>
      <c r="C11" s="75" t="s">
        <v>622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76" t="s">
        <v>9</v>
      </c>
      <c r="C12" s="77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8" t="str">
        <f>IF('AV 1'!C13="Às vezes",'AV 1'!B13,"-")</f>
        <v>-</v>
      </c>
      <c r="C13" s="78" t="str">
        <f>IF('AV 1'!C13="Não",'AV 1'!B13,"-")</f>
        <v>-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69" t="str">
        <f>IF('AV 1'!C14="Às vezes",'AV 1'!B14,"-")</f>
        <v>-</v>
      </c>
      <c r="C14" s="69" t="str">
        <f>IF('AV 1'!C14="Não",'AV 1'!B14,"-")</f>
        <v>-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69" t="str">
        <f>IF('AV 1'!C15="Às vezes",'AV 1'!B15,"-")</f>
        <v>-</v>
      </c>
      <c r="C15" s="69" t="str">
        <f>IF('AV 1'!C15="Não",'AV 1'!B15,"-")</f>
        <v>-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69" t="str">
        <f>IF('AV 1'!C16="Às vezes",'AV 1'!B16,"-")</f>
        <v>-</v>
      </c>
      <c r="C16" s="69" t="str">
        <f>IF('AV 1'!C16="Não",'AV 1'!B16,"-")</f>
        <v>-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69" t="str">
        <f>IF('AV 1'!C17="Às vezes",'AV 1'!B17,"-")</f>
        <v>-</v>
      </c>
      <c r="C17" s="69" t="str">
        <f>IF('AV 1'!C17="Não",'AV 1'!B17,"-")</f>
        <v>-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69" t="str">
        <f>IF('AV 1'!C18="Às vezes",'AV 1'!B18,"-")</f>
        <v>-</v>
      </c>
      <c r="C18" s="69" t="str">
        <f>IF('AV 1'!C18="Não",'AV 1'!B18,"-")</f>
        <v>-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69" t="str">
        <f>IF('AV 1'!C19="Às vezes",'AV 1'!B19,"-")</f>
        <v>-</v>
      </c>
      <c r="C19" s="69" t="str">
        <f>IF('AV 1'!C19="Não",'AV 1'!B19,"-")</f>
        <v>-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69" t="str">
        <f>IF('AV 1'!C20="Às vezes",'AV 1'!B20,"-")</f>
        <v>-</v>
      </c>
      <c r="C20" s="69" t="str">
        <f>IF('AV 1'!C20="Não",'AV 1'!B20,"-")</f>
        <v>-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69" t="str">
        <f>IF('AV 1'!C21="Às vezes",'AV 1'!B21,"-")</f>
        <v>-</v>
      </c>
      <c r="C21" s="69" t="str">
        <f>IF('AV 1'!C21="Não",'AV 1'!B21,"-")</f>
        <v>-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69" t="str">
        <f>IF('AV 1'!C22="Às vezes",'AV 1'!B22,"-")</f>
        <v>-</v>
      </c>
      <c r="C22" s="69" t="str">
        <f>IF('AV 1'!C22="Não",'AV 1'!B22,"-")</f>
        <v>-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69" t="str">
        <f>IF('AV 1'!C23="Às vezes",'AV 1'!B23,"-")</f>
        <v>-</v>
      </c>
      <c r="C23" s="69" t="str">
        <f>IF('AV 1'!C23="Não",'AV 1'!B23,"-")</f>
        <v>-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69" t="str">
        <f>IF('AV 1'!C24="Às vezes",'AV 1'!B24,"-")</f>
        <v>-</v>
      </c>
      <c r="C24" s="69" t="str">
        <f>IF('AV 1'!C24="Não",'AV 1'!B24,"-")</f>
        <v>-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69" t="str">
        <f>IF('AV 1'!C25="Às vezes",'AV 1'!B25,"-")</f>
        <v>-</v>
      </c>
      <c r="C25" s="69" t="str">
        <f>IF('AV 1'!C25="Não",'AV 1'!B25,"-")</f>
        <v>-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69" t="str">
        <f>IF('AV 1'!C26="Às vezes",'AV 1'!B26,"-")</f>
        <v>-</v>
      </c>
      <c r="C26" s="69" t="str">
        <f>IF('AV 1'!C26="Não",'AV 1'!B26,"-")</f>
        <v>-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69" t="str">
        <f>IF('AV 1'!C27="Às vezes",'AV 1'!B27,"-")</f>
        <v>-</v>
      </c>
      <c r="C27" s="69" t="str">
        <f>IF('AV 1'!C27="Não",'AV 1'!B27,"-")</f>
        <v>-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9" t="str">
        <f>IF('AV 1'!C28="Às vezes",'AV 1'!B28,"-")</f>
        <v>-</v>
      </c>
      <c r="C28" s="69" t="str">
        <f>IF('AV 1'!C28="Não",'AV 1'!B28,"-")</f>
        <v>-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69" t="str">
        <f>IF('AV 1'!C29="Às vezes",'AV 1'!B29,"-")</f>
        <v>-</v>
      </c>
      <c r="C29" s="69" t="str">
        <f>IF('AV 1'!C29="Não",'AV 1'!B29,"-")</f>
        <v>-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69" t="str">
        <f>IF('AV 1'!C30="Às vezes",'AV 1'!B30,"-")</f>
        <v>-</v>
      </c>
      <c r="C30" s="69" t="str">
        <f>IF('AV 1'!C30="Não",'AV 1'!B30,"-")</f>
        <v>-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69" t="str">
        <f>IF('AV 1'!C31="Às vezes",'AV 1'!B31,"-")</f>
        <v>-</v>
      </c>
      <c r="C31" s="69" t="str">
        <f>IF('AV 1'!C31="Não",'AV 1'!B31,"-")</f>
        <v>-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69" t="str">
        <f>IF('AV 1'!C32="Às vezes",'AV 1'!B32,"-")</f>
        <v>-</v>
      </c>
      <c r="C32" s="69" t="str">
        <f>IF('AV 1'!C32="Não",'AV 1'!B32,"-")</f>
        <v>-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69" t="str">
        <f>IF('AV 1'!C33="Às vezes",'AV 1'!B33,"-")</f>
        <v>-</v>
      </c>
      <c r="C33" s="69" t="str">
        <f>IF('AV 1'!C33="Não",'AV 1'!B33,"-")</f>
        <v>-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69" t="str">
        <f>IF('AV 1'!C34="Às vezes",'AV 1'!B34,"-")</f>
        <v>-</v>
      </c>
      <c r="C34" s="69" t="str">
        <f>IF('AV 1'!C34="Não",'AV 1'!B34,"-")</f>
        <v>-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69" t="str">
        <f>IF('AV 1'!C35="Às vezes",'AV 1'!B35,"-")</f>
        <v>-</v>
      </c>
      <c r="C35" s="69" t="str">
        <f>IF('AV 1'!C35="Não",'AV 1'!B35,"-")</f>
        <v>-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69" t="str">
        <f>IF('AV 1'!C36="Às vezes",'AV 1'!B36,"-")</f>
        <v>-</v>
      </c>
      <c r="C36" s="69" t="str">
        <f>IF('AV 1'!C36="Não",'AV 1'!B36,"-")</f>
        <v>-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69" t="str">
        <f>IF('AV 1'!C37="Às vezes",'AV 1'!B37,"-")</f>
        <v>-</v>
      </c>
      <c r="C37" s="69" t="str">
        <f>IF('AV 1'!C37="Não",'AV 1'!B37,"-")</f>
        <v>-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69" t="str">
        <f>IF('AV 1'!C38="Às vezes",'AV 1'!B38,"-")</f>
        <v>-</v>
      </c>
      <c r="C38" s="69" t="str">
        <f>IF('AV 1'!C38="Não",'AV 1'!B38,"-")</f>
        <v>-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69" t="str">
        <f>IF('AV 1'!C39="Às vezes",'AV 1'!B39,"-")</f>
        <v>-</v>
      </c>
      <c r="C39" s="69" t="str">
        <f>IF('AV 1'!C39="Não",'AV 1'!B39,"-")</f>
        <v>-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69" t="str">
        <f>IF('AV 1'!C40="Às vezes",'AV 1'!B40,"-")</f>
        <v>-</v>
      </c>
      <c r="C40" s="69" t="str">
        <f>IF('AV 1'!C40="Não",'AV 1'!B40,"-")</f>
        <v>-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69" t="str">
        <f>IF('AV 1'!C41="Às vezes",'AV 1'!B41,"-")</f>
        <v>-</v>
      </c>
      <c r="C41" s="69" t="str">
        <f>IF('AV 1'!C41="Não",'AV 1'!B41,"-")</f>
        <v>-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69" t="str">
        <f>IF('AV 1'!C42="Às vezes",'AV 1'!B42,"-")</f>
        <v>-</v>
      </c>
      <c r="C42" s="69" t="str">
        <f>IF('AV 1'!C42="Não",'AV 1'!B42,"-")</f>
        <v>-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69" t="str">
        <f>IF('AV 1'!C43="Às vezes",'AV 1'!B43,"-")</f>
        <v>-</v>
      </c>
      <c r="C43" s="69" t="str">
        <f>IF('AV 1'!C43="Não",'AV 1'!B43,"-")</f>
        <v>-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69" t="str">
        <f>IF('AV 1'!C44="Às vezes",'AV 1'!B44,"-")</f>
        <v>-</v>
      </c>
      <c r="C44" s="69" t="str">
        <f>IF('AV 1'!C44="Não",'AV 1'!B44,"-")</f>
        <v>-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69" t="str">
        <f>IF('AV 1'!C45="Às vezes",'AV 1'!B45,"-")</f>
        <v>-</v>
      </c>
      <c r="C45" s="69" t="str">
        <f>IF('AV 1'!C45="Não",'AV 1'!B45,"-")</f>
        <v>-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69" t="str">
        <f>IF('AV 1'!C46="Às vezes",'AV 1'!B46,"-")</f>
        <v>-</v>
      </c>
      <c r="C46" s="69" t="str">
        <f>IF('AV 1'!C46="Não",'AV 1'!B46,"-")</f>
        <v>-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69" t="str">
        <f>IF('AV 1'!C47="Às vezes",'AV 1'!B47,"-")</f>
        <v>-</v>
      </c>
      <c r="C47" s="69" t="str">
        <f>IF('AV 1'!C47="Não",'AV 1'!B47,"-")</f>
        <v>-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69" t="str">
        <f>IF('AV 1'!C48="Às vezes",'AV 1'!B48,"-")</f>
        <v>-</v>
      </c>
      <c r="C48" s="69" t="str">
        <f>IF('AV 1'!C48="Não",'AV 1'!B48,"-")</f>
        <v>-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69" t="str">
        <f>IF('AV 1'!C49="Às vezes",'AV 1'!B49,"-")</f>
        <v>-</v>
      </c>
      <c r="C49" s="69" t="str">
        <f>IF('AV 1'!C49="Não",'AV 1'!B49,"-")</f>
        <v>-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69" t="str">
        <f>IF('AV 1'!C50="Às vezes",'AV 1'!B50,"-")</f>
        <v>-</v>
      </c>
      <c r="C50" s="69" t="str">
        <f>IF('AV 1'!C50="Não",'AV 1'!B50,"-")</f>
        <v>-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69" t="str">
        <f>IF('AV 1'!C51="Às vezes",'AV 1'!B51,"-")</f>
        <v>-</v>
      </c>
      <c r="C51" s="69" t="str">
        <f>IF('AV 1'!C51="Não",'AV 1'!B51,"-")</f>
        <v>-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69" t="str">
        <f>IF('AV 1'!C52="Às vezes",'AV 1'!B52,"-")</f>
        <v>-</v>
      </c>
      <c r="C52" s="69" t="str">
        <f>IF('AV 1'!C52="Não",'AV 1'!B52,"-")</f>
        <v>-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69" t="str">
        <f>IF('AV 1'!C53="Às vezes",'AV 1'!B53,"-")</f>
        <v>-</v>
      </c>
      <c r="C53" s="69" t="str">
        <f>IF('AV 1'!C53="Não",'AV 1'!B53,"-")</f>
        <v>-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69" t="str">
        <f>IF('AV 1'!C54="Às vezes",'AV 1'!B54,"-")</f>
        <v>-</v>
      </c>
      <c r="C54" s="69" t="str">
        <f>IF('AV 1'!C54="Não",'AV 1'!B54,"-")</f>
        <v>-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69" t="str">
        <f>IF('AV 1'!C55="Às vezes",'AV 1'!B55,"-")</f>
        <v>-</v>
      </c>
      <c r="C55" s="69" t="str">
        <f>IF('AV 1'!C55="Não",'AV 1'!B55,"-")</f>
        <v>-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69" t="str">
        <f>IF('AV 1'!C56="Às vezes",'AV 1'!B56,"-")</f>
        <v>-</v>
      </c>
      <c r="C56" s="69" t="str">
        <f>IF('AV 1'!C56="Não",'AV 1'!B56,"-")</f>
        <v>-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69" t="str">
        <f>IF('AV 1'!C57="Às vezes",'AV 1'!B57,"-")</f>
        <v>-</v>
      </c>
      <c r="C57" s="69" t="str">
        <f>IF('AV 1'!C57="Não",'AV 1'!B57,"-")</f>
        <v>-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69" t="str">
        <f>IF('AV 1'!C58="Às vezes",'AV 1'!B58,"-")</f>
        <v>-</v>
      </c>
      <c r="C58" s="69" t="str">
        <f>IF('AV 1'!C58="Não",'AV 1'!B58,"-")</f>
        <v>-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69" t="str">
        <f>IF('AV 1'!C59="Às vezes",'AV 1'!B59,"-")</f>
        <v>-</v>
      </c>
      <c r="C59" s="69" t="str">
        <f>IF('AV 1'!C59="Não",'AV 1'!B59,"-")</f>
        <v>-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69" t="str">
        <f>IF('AV 1'!C60="Às vezes",'AV 1'!B60,"-")</f>
        <v>-</v>
      </c>
      <c r="C60" s="69" t="str">
        <f>IF('AV 1'!C60="Não",'AV 1'!B60,"-")</f>
        <v>-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69" t="str">
        <f>IF('AV 1'!C61="Às vezes",'AV 1'!B61,"-")</f>
        <v>-</v>
      </c>
      <c r="C61" s="69" t="str">
        <f>IF('AV 1'!C61="Não",'AV 1'!B61,"-")</f>
        <v>-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69" t="str">
        <f>IF('AV 1'!C62="Às vezes",'AV 1'!B62,"-")</f>
        <v>-</v>
      </c>
      <c r="C62" s="69" t="str">
        <f>IF('AV 1'!C62="Não",'AV 1'!B62,"-")</f>
        <v>-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69" t="str">
        <f>IF('AV 1'!C63="Às vezes",'AV 1'!B63,"-")</f>
        <v>-</v>
      </c>
      <c r="C63" s="69" t="str">
        <f>IF('AV 1'!C63="Não",'AV 1'!B63,"-")</f>
        <v>-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69" t="str">
        <f>IF('AV 1'!C64="Às vezes",'AV 1'!B64,"-")</f>
        <v>-</v>
      </c>
      <c r="C64" s="69" t="str">
        <f>IF('AV 1'!C64="Não",'AV 1'!B64,"-")</f>
        <v>-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69" t="str">
        <f>IF('AV 1'!C65="Às vezes",'AV 1'!B65,"-")</f>
        <v>-</v>
      </c>
      <c r="C65" s="69" t="str">
        <f>IF('AV 1'!C65="Não",'AV 1'!B65,"-")</f>
        <v>-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69" t="str">
        <f>IF('AV 1'!C66="Às vezes",'AV 1'!B66,"-")</f>
        <v>-</v>
      </c>
      <c r="C66" s="69" t="str">
        <f>IF('AV 1'!C66="Não",'AV 1'!B66,"-")</f>
        <v>-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69" t="str">
        <f>IF('AV 1'!C67="Às vezes",'AV 1'!B67,"-")</f>
        <v>-</v>
      </c>
      <c r="C67" s="69" t="str">
        <f>IF('AV 1'!C67="Não",'AV 1'!B67,"-")</f>
        <v>-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69" t="str">
        <f>IF('AV 1'!C68="Às vezes",'AV 1'!B68,"-")</f>
        <v>-</v>
      </c>
      <c r="C68" s="69" t="str">
        <f>IF('AV 1'!C68="Não",'AV 1'!B68,"-")</f>
        <v>-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69" t="str">
        <f>IF('AV 1'!C69="Às vezes",'AV 1'!B69,"-")</f>
        <v>-</v>
      </c>
      <c r="C69" s="69" t="str">
        <f>IF('AV 1'!C69="Não",'AV 1'!B69,"-")</f>
        <v>-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69" t="str">
        <f>IF('AV 1'!C70="Às vezes",'AV 1'!B70,"-")</f>
        <v>-</v>
      </c>
      <c r="C70" s="69" t="str">
        <f>IF('AV 1'!C70="Não",'AV 1'!B70,"-")</f>
        <v>-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69" t="str">
        <f>IF('AV 1'!C71="Às vezes",'AV 1'!B71,"-")</f>
        <v>-</v>
      </c>
      <c r="C71" s="69" t="str">
        <f>IF('AV 1'!C71="Não",'AV 1'!B71,"-")</f>
        <v>-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69" t="str">
        <f>IF('AV 1'!C72="Às vezes",'AV 1'!B72,"-")</f>
        <v>-</v>
      </c>
      <c r="C72" s="69" t="str">
        <f>IF('AV 1'!C72="Não",'AV 1'!B72,"-")</f>
        <v>-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69" t="str">
        <f>IF('AV 1'!C73="Às vezes",'AV 1'!B73,"-")</f>
        <v>-</v>
      </c>
      <c r="C73" s="69" t="str">
        <f>IF('AV 1'!C73="Não",'AV 1'!B73,"-")</f>
        <v>-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69" t="str">
        <f>IF('AV 1'!C74="Às vezes",'AV 1'!B74,"-")</f>
        <v>-</v>
      </c>
      <c r="C74" s="69" t="str">
        <f>IF('AV 1'!C74="Não",'AV 1'!B74,"-")</f>
        <v>-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69" t="str">
        <f>IF('AV 1'!C75="Às vezes",'AV 1'!B75,"-")</f>
        <v>-</v>
      </c>
      <c r="C75" s="69" t="str">
        <f>IF('AV 1'!C75="Não",'AV 1'!B75,"-")</f>
        <v>-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69" t="str">
        <f>IF('AV 1'!C76="Às vezes",'AV 1'!B76,"-")</f>
        <v>-</v>
      </c>
      <c r="C76" s="69" t="str">
        <f>IF('AV 1'!C76="Não",'AV 1'!B76,"-")</f>
        <v>-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69" t="str">
        <f>IF('AV 1'!C77="Às vezes",'AV 1'!B77,"-")</f>
        <v>-</v>
      </c>
      <c r="C77" s="69" t="str">
        <f>IF('AV 1'!C77="Não",'AV 1'!B77,"-")</f>
        <v>-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69" t="str">
        <f>IF('AV 1'!C78="Às vezes",'AV 1'!B78,"-")</f>
        <v>-</v>
      </c>
      <c r="C78" s="69" t="str">
        <f>IF('AV 1'!C78="Não",'AV 1'!B78,"-")</f>
        <v>-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69" t="str">
        <f>IF('AV 1'!C79="Às vezes",'AV 1'!B79,"-")</f>
        <v>-</v>
      </c>
      <c r="C79" s="69" t="str">
        <f>IF('AV 1'!C79="Não",'AV 1'!B79,"-")</f>
        <v>-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69" t="str">
        <f>IF('AV 1'!C80="Às vezes",'AV 1'!B80,"-")</f>
        <v>-</v>
      </c>
      <c r="C80" s="69" t="str">
        <f>IF('AV 1'!C80="Não",'AV 1'!B80,"-")</f>
        <v>-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69" t="str">
        <f>IF('AV 1'!C81="Às vezes",'AV 1'!B81,"-")</f>
        <v>-</v>
      </c>
      <c r="C81" s="69" t="str">
        <f>IF('AV 1'!C81="Não",'AV 1'!B81,"-")</f>
        <v>-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69" t="str">
        <f>IF('AV 1'!C82="Às vezes",'AV 1'!B82,"-")</f>
        <v>-</v>
      </c>
      <c r="C82" s="69" t="str">
        <f>IF('AV 1'!C82="Não",'AV 1'!B82,"-")</f>
        <v>-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69" t="str">
        <f>IF('AV 1'!C83="Às vezes",'AV 1'!B83,"-")</f>
        <v>-</v>
      </c>
      <c r="C83" s="69" t="str">
        <f>IF('AV 1'!C83="Não",'AV 1'!B83,"-")</f>
        <v>-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69" t="str">
        <f>IF('AV 1'!C84="Às vezes",'AV 1'!B84,"-")</f>
        <v>-</v>
      </c>
      <c r="C84" s="69" t="str">
        <f>IF('AV 1'!C84="Não",'AV 1'!B84,"-")</f>
        <v>-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69" t="str">
        <f>IF('AV 1'!C85="Às vezes",'AV 1'!B85,"-")</f>
        <v>-</v>
      </c>
      <c r="C85" s="69" t="str">
        <f>IF('AV 1'!C85="Não",'AV 1'!B85,"-")</f>
        <v>-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69" t="str">
        <f>IF('AV 1'!C86="Às vezes",'AV 1'!B86,"-")</f>
        <v>-</v>
      </c>
      <c r="C86" s="69" t="str">
        <f>IF('AV 1'!C86="Não",'AV 1'!B86,"-")</f>
        <v>-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69" t="str">
        <f>IF('AV 1'!C87="Às vezes",'AV 1'!B87,"-")</f>
        <v>-</v>
      </c>
      <c r="C87" s="69" t="str">
        <f>IF('AV 1'!C87="Não",'AV 1'!B87,"-")</f>
        <v>-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69" t="str">
        <f>IF('AV 1'!C88="Às vezes",'AV 1'!B88,"-")</f>
        <v>-</v>
      </c>
      <c r="C88" s="69" t="str">
        <f>IF('AV 1'!C88="Não",'AV 1'!B88,"-")</f>
        <v>-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69" t="str">
        <f>IF('AV 1'!C89="Às vezes",'AV 1'!B89,"-")</f>
        <v>-</v>
      </c>
      <c r="C89" s="69" t="str">
        <f>IF('AV 1'!C89="Não",'AV 1'!B89,"-")</f>
        <v>-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69" t="str">
        <f>IF('AV 1'!C90="Às vezes",'AV 1'!B90,"-")</f>
        <v>-</v>
      </c>
      <c r="C90" s="69" t="str">
        <f>IF('AV 1'!C90="Não",'AV 1'!B90,"-")</f>
        <v>-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69" t="str">
        <f>IF('AV 1'!C91="Às vezes",'AV 1'!B91,"-")</f>
        <v>-</v>
      </c>
      <c r="C91" s="69" t="str">
        <f>IF('AV 1'!C91="Não",'AV 1'!B91,"-")</f>
        <v>-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69" t="str">
        <f>IF('AV 1'!C92="Às vezes",'AV 1'!B92,"-")</f>
        <v>-</v>
      </c>
      <c r="C92" s="69" t="str">
        <f>IF('AV 1'!C92="Não",'AV 1'!B92,"-")</f>
        <v>-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69" t="str">
        <f>IF('AV 1'!C93="Às vezes",'AV 1'!B93,"-")</f>
        <v>-</v>
      </c>
      <c r="C93" s="69" t="str">
        <f>IF('AV 1'!C93="Não",'AV 1'!B93,"-")</f>
        <v>-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69" t="str">
        <f>IF('AV 1'!C94="Às vezes",'AV 1'!B94,"-")</f>
        <v>-</v>
      </c>
      <c r="C94" s="69" t="str">
        <f>IF('AV 1'!C94="Não",'AV 1'!B94,"-")</f>
        <v>-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69" t="str">
        <f>IF('AV 1'!C95="Às vezes",'AV 1'!B95,"-")</f>
        <v>-</v>
      </c>
      <c r="C95" s="69" t="str">
        <f>IF('AV 1'!C95="Não",'AV 1'!B95,"-")</f>
        <v>-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69" t="str">
        <f>IF('AV 1'!C96="Às vezes",'AV 1'!B96,"-")</f>
        <v>-</v>
      </c>
      <c r="C96" s="69" t="str">
        <f>IF('AV 1'!C96="Não",'AV 1'!B96,"-")</f>
        <v>-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69" t="str">
        <f>IF('AV 1'!C97="Às vezes",'AV 1'!B97,"-")</f>
        <v>-</v>
      </c>
      <c r="C97" s="69" t="str">
        <f>IF('AV 1'!C97="Não",'AV 1'!B97,"-")</f>
        <v>-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69" t="str">
        <f>IF('AV 1'!C98="Às vezes",'AV 1'!B98,"-")</f>
        <v>-</v>
      </c>
      <c r="C98" s="69" t="str">
        <f>IF('AV 1'!C98="Não",'AV 1'!B98,"-")</f>
        <v>-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69" t="str">
        <f>IF('AV 1'!C99="Às vezes",'AV 1'!B99,"-")</f>
        <v>-</v>
      </c>
      <c r="C99" s="69" t="str">
        <f>IF('AV 1'!C99="Não",'AV 1'!B99,"-")</f>
        <v>-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69" t="str">
        <f>IF('AV 1'!C100="Às vezes",'AV 1'!B100,"-")</f>
        <v>-</v>
      </c>
      <c r="C100" s="69" t="str">
        <f>IF('AV 1'!C100="Não",'AV 1'!B100,"-")</f>
        <v>-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69" t="str">
        <f>IF('AV 1'!C101="Às vezes",'AV 1'!B101,"-")</f>
        <v>-</v>
      </c>
      <c r="C101" s="69" t="str">
        <f>IF('AV 1'!C101="Não",'AV 1'!B101,"-")</f>
        <v>-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69" t="str">
        <f>IF('AV 1'!C102="Às vezes",'AV 1'!B102,"-")</f>
        <v>-</v>
      </c>
      <c r="C102" s="69" t="str">
        <f>IF('AV 1'!C102="Não",'AV 1'!B102,"-")</f>
        <v>-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69" t="str">
        <f>IF('AV 1'!C103="Às vezes",'AV 1'!B103,"-")</f>
        <v>-</v>
      </c>
      <c r="C103" s="69" t="str">
        <f>IF('AV 1'!C103="Não",'AV 1'!B103,"-")</f>
        <v>-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69" t="str">
        <f>IF('AV 1'!C104="Às vezes",'AV 1'!B104,"-")</f>
        <v>-</v>
      </c>
      <c r="C104" s="69" t="str">
        <f>IF('AV 1'!C104="Não",'AV 1'!B104,"-")</f>
        <v>-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69" t="str">
        <f>IF('AV 1'!C105="Às vezes",'AV 1'!B105,"-")</f>
        <v>-</v>
      </c>
      <c r="C105" s="69" t="str">
        <f>IF('AV 1'!C105="Não",'AV 1'!B105,"-")</f>
        <v>-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9" t="s">
        <v>10</v>
      </c>
      <c r="C106" s="79" t="s">
        <v>10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8" t="str">
        <f>IF('AV 1'!F13="Às vezes",'AV 1'!E13,"-")</f>
        <v>-</v>
      </c>
      <c r="C107" s="69" t="str">
        <f>IF('AV 1'!F13="Não",'AV 1'!E13,"-")</f>
        <v>-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69" t="str">
        <f>IF('AV 1'!F14="Às vezes",'AV 1'!E14,"-")</f>
        <v>-</v>
      </c>
      <c r="C108" s="69" t="str">
        <f>IF('AV 1'!F14="Não",'AV 1'!E14,"-")</f>
        <v>-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69" t="str">
        <f>IF('AV 1'!F15="Às vezes",'AV 1'!E15,"-")</f>
        <v>-</v>
      </c>
      <c r="C109" s="69" t="str">
        <f>IF('AV 1'!F15="Não",'AV 1'!E15,"-")</f>
        <v>-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69" t="str">
        <f>IF('AV 1'!F16="Às vezes",'AV 1'!E16,"-")</f>
        <v>-</v>
      </c>
      <c r="C110" s="69" t="str">
        <f>IF('AV 1'!F16="Não",'AV 1'!E16,"-")</f>
        <v>-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69" t="str">
        <f>IF('AV 1'!F17="Às vezes",'AV 1'!E17,"-")</f>
        <v>-</v>
      </c>
      <c r="C111" s="69" t="str">
        <f>IF('AV 1'!F17="Não",'AV 1'!E17,"-")</f>
        <v>-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69" t="str">
        <f>IF('AV 1'!F18="Às vezes",'AV 1'!E18,"-")</f>
        <v>-</v>
      </c>
      <c r="C112" s="69" t="str">
        <f>IF('AV 1'!F18="Não",'AV 1'!E18,"-")</f>
        <v>-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69" t="str">
        <f>IF('AV 1'!F19="Às vezes",'AV 1'!E19,"-")</f>
        <v>-</v>
      </c>
      <c r="C113" s="69" t="str">
        <f>IF('AV 1'!F19="Não",'AV 1'!E19,"-")</f>
        <v>-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69" t="str">
        <f>IF('AV 1'!F20="Às vezes",'AV 1'!E20,"-")</f>
        <v>-</v>
      </c>
      <c r="C114" s="69" t="str">
        <f>IF('AV 1'!F20="Não",'AV 1'!E20,"-")</f>
        <v>-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69" t="str">
        <f>IF('AV 1'!F21="Às vezes",'AV 1'!E21,"-")</f>
        <v>-</v>
      </c>
      <c r="C115" s="69" t="str">
        <f>IF('AV 1'!F21="Não",'AV 1'!E21,"-")</f>
        <v>-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69" t="str">
        <f>IF('AV 1'!F22="Às vezes",'AV 1'!E22,"-")</f>
        <v>-</v>
      </c>
      <c r="C116" s="69" t="str">
        <f>IF('AV 1'!F22="Não",'AV 1'!E22,"-")</f>
        <v>-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69" t="str">
        <f>IF('AV 1'!F23="Às vezes",'AV 1'!E23,"-")</f>
        <v>-</v>
      </c>
      <c r="C117" s="69" t="str">
        <f>IF('AV 1'!F23="Não",'AV 1'!E23,"-")</f>
        <v>-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69" t="str">
        <f>IF('AV 1'!F24="Às vezes",'AV 1'!E24,"-")</f>
        <v>-</v>
      </c>
      <c r="C118" s="69" t="str">
        <f>IF('AV 1'!F24="Não",'AV 1'!E24,"-")</f>
        <v>-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3.0" customHeight="1">
      <c r="A119" s="1"/>
      <c r="B119" s="69" t="str">
        <f>IF('AV 1'!F25="Às vezes",'AV 1'!E25,"-")</f>
        <v>-</v>
      </c>
      <c r="C119" s="69" t="str">
        <f>IF('AV 1'!F25="Não",'AV 1'!E25,"-")</f>
        <v>-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69" t="str">
        <f>IF('AV 1'!F26="Às vezes",'AV 1'!E26,"-")</f>
        <v>-</v>
      </c>
      <c r="C120" s="69" t="str">
        <f>IF('AV 1'!F26="Não",'AV 1'!E26,"-")</f>
        <v>-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69" t="str">
        <f>IF('AV 1'!F27="Às vezes",'AV 1'!E27,"-")</f>
        <v>-</v>
      </c>
      <c r="C121" s="69" t="str">
        <f>IF('AV 1'!F27="Não",'AV 1'!E27,"-")</f>
        <v>-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69" t="str">
        <f>IF('AV 1'!F28="Às vezes",'AV 1'!E28,"-")</f>
        <v>-</v>
      </c>
      <c r="C122" s="69" t="str">
        <f>IF('AV 1'!F28="Não",'AV 1'!E28,"-")</f>
        <v>-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69" t="str">
        <f>IF('AV 1'!F29="Às vezes",'AV 1'!E29,"-")</f>
        <v>-</v>
      </c>
      <c r="C123" s="69" t="str">
        <f>IF('AV 1'!F29="Não",'AV 1'!E29,"-")</f>
        <v>-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69" t="str">
        <f>IF('AV 1'!F30="Às vezes",'AV 1'!E30,"-")</f>
        <v>-</v>
      </c>
      <c r="C124" s="69" t="str">
        <f>IF('AV 1'!F30="Não",'AV 1'!E30,"-")</f>
        <v>-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69" t="str">
        <f>IF('AV 1'!F31="Às vezes",'AV 1'!E31,"-")</f>
        <v>-</v>
      </c>
      <c r="C125" s="69" t="str">
        <f>IF('AV 1'!F31="Não",'AV 1'!E31,"-")</f>
        <v>-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69" t="str">
        <f>IF('AV 1'!F32="Às vezes",'AV 1'!E32,"-")</f>
        <v>-</v>
      </c>
      <c r="C126" s="69" t="str">
        <f>IF('AV 1'!F32="Não",'AV 1'!E32,"-")</f>
        <v>-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69" t="str">
        <f>IF('AV 1'!F33="Às vezes",'AV 1'!E33,"-")</f>
        <v>-</v>
      </c>
      <c r="C127" s="69" t="str">
        <f>IF('AV 1'!F33="Não",'AV 1'!E33,"-")</f>
        <v>-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69" t="str">
        <f>IF('AV 1'!F34="Às vezes",'AV 1'!E34,"-")</f>
        <v>-</v>
      </c>
      <c r="C128" s="69" t="str">
        <f>IF('AV 1'!F34="Não",'AV 1'!E34,"-")</f>
        <v>-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69" t="str">
        <f>IF('AV 1'!F35="Às vezes",'AV 1'!E35,"-")</f>
        <v>-</v>
      </c>
      <c r="C129" s="69" t="str">
        <f>IF('AV 1'!F35="Não",'AV 1'!E35,"-")</f>
        <v>-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69" t="str">
        <f>IF('AV 1'!F36="Às vezes",'AV 1'!E36,"-")</f>
        <v>-</v>
      </c>
      <c r="C130" s="69" t="str">
        <f>IF('AV 1'!F36="Não",'AV 1'!E36,"-")</f>
        <v>-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69" t="str">
        <f>IF('AV 1'!F37="Às vezes",'AV 1'!E37,"-")</f>
        <v>-</v>
      </c>
      <c r="C131" s="69" t="str">
        <f>IF('AV 1'!F37="Não",'AV 1'!E37,"-")</f>
        <v>-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69" t="str">
        <f>IF('AV 1'!F38="Às vezes",'AV 1'!E38,"-")</f>
        <v>-</v>
      </c>
      <c r="C132" s="69" t="str">
        <f>IF('AV 1'!F38="Não",'AV 1'!E38,"-")</f>
        <v>-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69" t="str">
        <f>IF('AV 1'!F39="Às vezes",'AV 1'!E39,"-")</f>
        <v>-</v>
      </c>
      <c r="C133" s="69" t="str">
        <f>IF('AV 1'!F39="Não",'AV 1'!E39,"-")</f>
        <v>-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47.25" customHeight="1">
      <c r="A134" s="1"/>
      <c r="B134" s="69" t="str">
        <f>IF('AV 1'!F40="Às vezes",'AV 1'!E40,"-")</f>
        <v>-</v>
      </c>
      <c r="C134" s="69" t="str">
        <f>IF('AV 1'!F40="Não",'AV 1'!E40,"-")</f>
        <v>-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69" t="str">
        <f>IF('AV 1'!F41="Às vezes",'AV 1'!E41,"-")</f>
        <v>-</v>
      </c>
      <c r="C135" s="69" t="str">
        <f>IF('AV 1'!F41="Não",'AV 1'!E41,"-")</f>
        <v>-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69" t="str">
        <f>IF('AV 1'!F42="Às vezes",'AV 1'!E42,"-")</f>
        <v>-</v>
      </c>
      <c r="C136" s="69" t="str">
        <f>IF('AV 1'!F42="Não",'AV 1'!E42,"-")</f>
        <v>-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69" t="str">
        <f>IF('AV 1'!F43="Às vezes",'AV 1'!E43,"-")</f>
        <v>-</v>
      </c>
      <c r="C137" s="69" t="str">
        <f>IF('AV 1'!F43="Não",'AV 1'!E43,"-")</f>
        <v>-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69" t="str">
        <f>IF('AV 1'!F44="Às vezes",'AV 1'!E44,"-")</f>
        <v>-</v>
      </c>
      <c r="C138" s="69" t="str">
        <f>IF('AV 1'!F44="Não",'AV 1'!E44,"-")</f>
        <v>-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69" t="str">
        <f>IF('AV 1'!F45="Às vezes",'AV 1'!E45,"-")</f>
        <v>-</v>
      </c>
      <c r="C139" s="69" t="str">
        <f>IF('AV 1'!F45="Não",'AV 1'!E45,"-")</f>
        <v>-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69" t="str">
        <f>IF('AV 1'!F46="Às vezes",'AV 1'!E46,"-")</f>
        <v>-</v>
      </c>
      <c r="C140" s="69" t="str">
        <f>IF('AV 1'!F46="Não",'AV 1'!E46,"-")</f>
        <v>-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69" t="str">
        <f>IF('AV 1'!F47="Às vezes",'AV 1'!E47,"-")</f>
        <v>-</v>
      </c>
      <c r="C141" s="69" t="str">
        <f>IF('AV 1'!F47="Não",'AV 1'!E47,"-")</f>
        <v>-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69" t="str">
        <f>IF('AV 1'!F48="Às vezes",'AV 1'!E48,"-")</f>
        <v>-</v>
      </c>
      <c r="C142" s="69" t="str">
        <f>IF('AV 1'!F48="Não",'AV 1'!E48,"-")</f>
        <v>-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69" t="str">
        <f>IF('AV 1'!F49="Às vezes",'AV 1'!E49,"-")</f>
        <v>-</v>
      </c>
      <c r="C143" s="69" t="str">
        <f>IF('AV 1'!F49="Não",'AV 1'!E49,"-")</f>
        <v>-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69" t="str">
        <f>IF('AV 1'!F50="Às vezes",'AV 1'!E50,"-")</f>
        <v>-</v>
      </c>
      <c r="C144" s="69" t="str">
        <f>IF('AV 1'!F50="Não",'AV 1'!E50,"-")</f>
        <v>-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69" t="str">
        <f>IF('AV 1'!F51="Às vezes",'AV 1'!E51,"-")</f>
        <v>-</v>
      </c>
      <c r="C145" s="69" t="str">
        <f>IF('AV 1'!F51="Não",'AV 1'!E51,"-")</f>
        <v>-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69" t="str">
        <f>IF('AV 1'!F52="Às vezes",'AV 1'!E52,"-")</f>
        <v>-</v>
      </c>
      <c r="C146" s="69" t="str">
        <f>IF('AV 1'!F52="Não",'AV 1'!E52,"-")</f>
        <v>-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69" t="str">
        <f>IF('AV 1'!F53="Às vezes",'AV 1'!E53,"-")</f>
        <v>-</v>
      </c>
      <c r="C147" s="69" t="str">
        <f>IF('AV 1'!F53="Não",'AV 1'!E53,"-")</f>
        <v>-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69" t="str">
        <f>IF('AV 1'!F54="Às vezes",'AV 1'!E54,"-")</f>
        <v>-</v>
      </c>
      <c r="C148" s="69" t="str">
        <f>IF('AV 1'!F54="Não",'AV 1'!E54,"-")</f>
        <v>-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69" t="str">
        <f>IF('AV 1'!F55="Às vezes",'AV 1'!E55,"-")</f>
        <v>-</v>
      </c>
      <c r="C149" s="69" t="str">
        <f>IF('AV 1'!F55="Não",'AV 1'!E55,"-")</f>
        <v>-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69" t="str">
        <f>IF('AV 1'!F56="Às vezes",'AV 1'!E56,"-")</f>
        <v>-</v>
      </c>
      <c r="C150" s="69" t="str">
        <f>IF('AV 1'!F56="Não",'AV 1'!E56,"-")</f>
        <v>-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69" t="str">
        <f>IF('AV 1'!F57="Às vezes",'AV 1'!E57,"-")</f>
        <v>-</v>
      </c>
      <c r="C151" s="69" t="str">
        <f>IF('AV 1'!F57="Não",'AV 1'!E57,"-")</f>
        <v>-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69" t="str">
        <f>IF('AV 1'!F58="Às vezes",'AV 1'!E58,"-")</f>
        <v>-</v>
      </c>
      <c r="C152" s="69" t="str">
        <f>IF('AV 1'!F58="Não",'AV 1'!E58,"-")</f>
        <v>-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69" t="str">
        <f>IF('AV 1'!F59="Às vezes",'AV 1'!E59,"-")</f>
        <v>-</v>
      </c>
      <c r="C153" s="69" t="str">
        <f>IF('AV 1'!F59="Não",'AV 1'!E59,"-")</f>
        <v>-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69" t="str">
        <f>IF('AV 1'!F60="Às vezes",'AV 1'!E60,"-")</f>
        <v>-</v>
      </c>
      <c r="C154" s="69" t="str">
        <f>IF('AV 1'!F60="Não",'AV 1'!E60,"-")</f>
        <v>-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69" t="str">
        <f>IF('AV 1'!F61="Às vezes",'AV 1'!E61,"-")</f>
        <v>-</v>
      </c>
      <c r="C155" s="69" t="str">
        <f>IF('AV 1'!F61="Não",'AV 1'!E61,"-")</f>
        <v>-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69" t="str">
        <f>IF('AV 1'!F62="Às vezes",'AV 1'!E62,"-")</f>
        <v>-</v>
      </c>
      <c r="C156" s="69" t="str">
        <f>IF('AV 1'!F62="Não",'AV 1'!E62,"-")</f>
        <v>-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9" t="str">
        <f>IF('AV 1'!F63="Às vezes",'AV 1'!E63,"-")</f>
        <v>-</v>
      </c>
      <c r="C157" s="69" t="str">
        <f>IF('AV 1'!F63="Não",'AV 1'!E63,"-")</f>
        <v>-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69" t="str">
        <f>IF('AV 1'!F64="Às vezes",'AV 1'!E64,"-")</f>
        <v>-</v>
      </c>
      <c r="C158" s="69" t="str">
        <f>IF('AV 1'!F64="Não",'AV 1'!E64,"-")</f>
        <v>-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69" t="str">
        <f>IF('AV 1'!F65="Às vezes",'AV 1'!E65,"-")</f>
        <v>-</v>
      </c>
      <c r="C159" s="69" t="str">
        <f>IF('AV 1'!F65="Não",'AV 1'!E65,"-")</f>
        <v>-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69" t="str">
        <f>IF('AV 1'!F66="Às vezes",'AV 1'!E66,"-")</f>
        <v>-</v>
      </c>
      <c r="C160" s="69" t="str">
        <f>IF('AV 1'!F66="Não",'AV 1'!E66,"-")</f>
        <v>-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69" t="str">
        <f>IF('AV 1'!F67="Às vezes",'AV 1'!E67,"-")</f>
        <v>-</v>
      </c>
      <c r="C161" s="69" t="str">
        <f>IF('AV 1'!F67="Não",'AV 1'!E67,"-")</f>
        <v>-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69" t="str">
        <f>IF('AV 1'!F68="Às vezes",'AV 1'!E68,"-")</f>
        <v>-</v>
      </c>
      <c r="C162" s="69" t="str">
        <f>IF('AV 1'!F68="Não",'AV 1'!E68,"-")</f>
        <v>-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69" t="str">
        <f>IF('AV 1'!F69="Às vezes",'AV 1'!E69,"-")</f>
        <v>-</v>
      </c>
      <c r="C163" s="69" t="str">
        <f>IF('AV 1'!F69="Não",'AV 1'!E69,"-")</f>
        <v>-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69" t="str">
        <f>IF('AV 1'!F70="Às vezes",'AV 1'!E70,"-")</f>
        <v>-</v>
      </c>
      <c r="C164" s="69" t="str">
        <f>IF('AV 1'!F70="Não",'AV 1'!E70,"-")</f>
        <v>-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69" t="str">
        <f>IF('AV 1'!F71="Às vezes",'AV 1'!E71,"-")</f>
        <v>-</v>
      </c>
      <c r="C165" s="69" t="str">
        <f>IF('AV 1'!F71="Não",'AV 1'!E71,"-")</f>
        <v>-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69" t="str">
        <f>IF('AV 1'!F72="Às vezes",'AV 1'!E72,"-")</f>
        <v>-</v>
      </c>
      <c r="C166" s="69" t="str">
        <f>IF('AV 1'!F72="Não",'AV 1'!E72,"-")</f>
        <v>-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69" t="str">
        <f>IF('AV 1'!F73="Às vezes",'AV 1'!E73,"-")</f>
        <v>-</v>
      </c>
      <c r="C167" s="69" t="str">
        <f>IF('AV 1'!F73="Não",'AV 1'!E73,"-")</f>
        <v>-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69" t="str">
        <f>IF('AV 1'!F74="Às vezes",'AV 1'!E74,"-")</f>
        <v>-</v>
      </c>
      <c r="C168" s="69" t="str">
        <f>IF('AV 1'!F74="Não",'AV 1'!E74,"-")</f>
        <v>-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69" t="str">
        <f>IF('AV 1'!F75="Às vezes",'AV 1'!E75,"-")</f>
        <v>-</v>
      </c>
      <c r="C169" s="69" t="str">
        <f>IF('AV 1'!F75="Não",'AV 1'!E75,"-")</f>
        <v>-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69" t="str">
        <f>IF('AV 1'!F76="Às vezes",'AV 1'!E76,"-")</f>
        <v>-</v>
      </c>
      <c r="C170" s="69" t="str">
        <f>IF('AV 1'!F76="Não",'AV 1'!E76,"-")</f>
        <v>-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69" t="str">
        <f>IF('AV 1'!F77="Às vezes",'AV 1'!E77,"-")</f>
        <v>-</v>
      </c>
      <c r="C171" s="69" t="str">
        <f>IF('AV 1'!F77="Não",'AV 1'!E77,"-")</f>
        <v>-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69" t="str">
        <f>IF('AV 1'!F78="Às vezes",'AV 1'!E78,"-")</f>
        <v>-</v>
      </c>
      <c r="C172" s="69" t="str">
        <f>IF('AV 1'!F78="Não",'AV 1'!E78,"-")</f>
        <v>-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69" t="str">
        <f>IF('AV 1'!F79="Às vezes",'AV 1'!E79,"-")</f>
        <v>-</v>
      </c>
      <c r="C173" s="69" t="str">
        <f>IF('AV 1'!F79="Não",'AV 1'!E79,"-")</f>
        <v>-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69" t="str">
        <f>IF('AV 1'!F80="Às vezes",'AV 1'!E80,"-")</f>
        <v>-</v>
      </c>
      <c r="C174" s="69" t="str">
        <f>IF('AV 1'!F80="Não",'AV 1'!E80,"-")</f>
        <v>-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69" t="str">
        <f>IF('AV 1'!F81="Às vezes",'AV 1'!E81,"-")</f>
        <v>-</v>
      </c>
      <c r="C175" s="69" t="str">
        <f>IF('AV 1'!F81="Não",'AV 1'!E81,"-")</f>
        <v>-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69" t="str">
        <f>IF('AV 1'!F82="Às vezes",'AV 1'!E82,"-")</f>
        <v>-</v>
      </c>
      <c r="C176" s="69" t="str">
        <f>IF('AV 1'!F82="Não",'AV 1'!E82,"-")</f>
        <v>-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69" t="str">
        <f>IF('AV 1'!F83="Às vezes",'AV 1'!E83,"-")</f>
        <v>-</v>
      </c>
      <c r="C177" s="69" t="str">
        <f>IF('AV 1'!F83="Não",'AV 1'!E83,"-")</f>
        <v>-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69" t="str">
        <f>IF('AV 1'!F84="Às vezes",'AV 1'!E84,"-")</f>
        <v>-</v>
      </c>
      <c r="C178" s="69" t="str">
        <f>IF('AV 1'!F84="Não",'AV 1'!E84,"-")</f>
        <v>-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69" t="str">
        <f>IF('AV 1'!F85="Às vezes",'AV 1'!E85,"-")</f>
        <v>-</v>
      </c>
      <c r="C179" s="69" t="str">
        <f>IF('AV 1'!F85="Não",'AV 1'!E85,"-")</f>
        <v>-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9" t="str">
        <f>IF('AV 1'!F86="Às vezes",'AV 1'!E86,"-")</f>
        <v>-</v>
      </c>
      <c r="C180" s="69" t="str">
        <f>IF('AV 1'!F86="Não",'AV 1'!E86,"-")</f>
        <v>-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69" t="str">
        <f>IF('AV 1'!F87="Às vezes",'AV 1'!E87,"-")</f>
        <v>-</v>
      </c>
      <c r="C181" s="69" t="str">
        <f>IF('AV 1'!F87="Não",'AV 1'!E87,"-")</f>
        <v>-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69" t="str">
        <f>IF('AV 1'!F88="Às vezes",'AV 1'!E88,"-")</f>
        <v>-</v>
      </c>
      <c r="C182" s="69" t="str">
        <f>IF('AV 1'!F88="Não",'AV 1'!E88,"-")</f>
        <v>-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69" t="str">
        <f>IF('AV 1'!F89="Às vezes",'AV 1'!E89,"-")</f>
        <v>-</v>
      </c>
      <c r="C183" s="69" t="str">
        <f>IF('AV 1'!F89="Não",'AV 1'!E89,"-")</f>
        <v>-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69" t="str">
        <f>IF('AV 1'!F90="Às vezes",'AV 1'!E90,"-")</f>
        <v>-</v>
      </c>
      <c r="C184" s="69" t="str">
        <f>IF('AV 1'!F90="Não",'AV 1'!E90,"-")</f>
        <v>-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69" t="str">
        <f>IF('AV 1'!F91="Às vezes",'AV 1'!E91,"-")</f>
        <v>-</v>
      </c>
      <c r="C185" s="69" t="str">
        <f>IF('AV 1'!F91="Não",'AV 1'!E91,"-")</f>
        <v>-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69" t="str">
        <f>IF('AV 1'!F92="Às vezes",'AV 1'!E92,"-")</f>
        <v>-</v>
      </c>
      <c r="C186" s="69" t="str">
        <f>IF('AV 1'!F92="Não",'AV 1'!E92,"-")</f>
        <v>-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69" t="str">
        <f>IF('AV 1'!F93="Às vezes",'AV 1'!E93,"-")</f>
        <v>-</v>
      </c>
      <c r="C187" s="69" t="str">
        <f>IF('AV 1'!F93="Não",'AV 1'!E93,"-")</f>
        <v>-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69" t="str">
        <f>IF('AV 1'!F94="Às vezes",'AV 1'!E94,"-")</f>
        <v>-</v>
      </c>
      <c r="C188" s="69" t="str">
        <f>IF('AV 1'!F94="Não",'AV 1'!E94,"-")</f>
        <v>-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69" t="str">
        <f>IF('AV 1'!F95="Às vezes",'AV 1'!E95,"-")</f>
        <v>-</v>
      </c>
      <c r="C189" s="69" t="str">
        <f>IF('AV 1'!F95="Não",'AV 1'!E95,"-")</f>
        <v>-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69" t="str">
        <f>IF('AV 1'!F96="Às vezes",'AV 1'!E96,"-")</f>
        <v>-</v>
      </c>
      <c r="C190" s="69" t="str">
        <f>IF('AV 1'!F96="Não",'AV 1'!E96,"-")</f>
        <v>-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69" t="str">
        <f>IF('AV 1'!F97="Às vezes",'AV 1'!E97,"-")</f>
        <v>-</v>
      </c>
      <c r="C191" s="69" t="str">
        <f>IF('AV 1'!F97="Não",'AV 1'!E97,"-")</f>
        <v>-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69" t="str">
        <f>IF('AV 1'!F98="Às vezes",'AV 1'!E98,"-")</f>
        <v>-</v>
      </c>
      <c r="C192" s="69" t="str">
        <f>IF('AV 1'!F98="Não",'AV 1'!E98,"-")</f>
        <v>-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69" t="str">
        <f>IF('AV 1'!F99="Às vezes",'AV 1'!E99,"-")</f>
        <v>-</v>
      </c>
      <c r="C193" s="69" t="str">
        <f>IF('AV 1'!F99="Não",'AV 1'!E99,"-")</f>
        <v>-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69" t="str">
        <f>IF('AV 1'!F100="Às vezes",'AV 1'!E100,"-")</f>
        <v>-</v>
      </c>
      <c r="C194" s="69" t="str">
        <f>IF('AV 1'!F100="Não",'AV 1'!E100,"-")</f>
        <v>-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69" t="str">
        <f>IF('AV 1'!F101="Às vezes",'AV 1'!E101,"-")</f>
        <v>-</v>
      </c>
      <c r="C195" s="69" t="str">
        <f>IF('AV 1'!F101="Não",'AV 1'!E101,"-")</f>
        <v>-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69" t="str">
        <f>IF('AV 1'!F102="Às vezes",'AV 1'!E102,"-")</f>
        <v>-</v>
      </c>
      <c r="C196" s="69" t="str">
        <f>IF('AV 1'!F102="Não",'AV 1'!E102,"-")</f>
        <v>-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69" t="str">
        <f>IF('AV 1'!F103="Às vezes",'AV 1'!E103,"-")</f>
        <v>-</v>
      </c>
      <c r="C197" s="69" t="str">
        <f>IF('AV 1'!F103="Não",'AV 1'!E103,"-")</f>
        <v>-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69" t="str">
        <f>IF('AV 1'!F104="Às vezes",'AV 1'!E104,"-")</f>
        <v>-</v>
      </c>
      <c r="C198" s="69" t="str">
        <f>IF('AV 1'!F104="Não",'AV 1'!E104,"-")</f>
        <v>-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69" t="str">
        <f>IF('AV 1'!F105="Às vezes",'AV 1'!E105,"-")</f>
        <v>-</v>
      </c>
      <c r="C199" s="69" t="str">
        <f>IF('AV 1'!F105="Não",'AV 1'!E105,"-")</f>
        <v>-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69" t="str">
        <f>IF('AV 1'!F106="Às vezes",'AV 1'!E106,"-")</f>
        <v>-</v>
      </c>
      <c r="C200" s="69" t="str">
        <f>IF('AV 1'!F106="Não",'AV 1'!E106,"-")</f>
        <v>-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69" t="str">
        <f>IF('AV 1'!F107="Às vezes",'AV 1'!E107,"-")</f>
        <v>-</v>
      </c>
      <c r="C201" s="69" t="str">
        <f>IF('AV 1'!F107="Não",'AV 1'!E107,"-")</f>
        <v>-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69" t="str">
        <f>IF('AV 1'!F108="Às vezes",'AV 1'!E108,"-")</f>
        <v>-</v>
      </c>
      <c r="C202" s="69" t="str">
        <f>IF('AV 1'!F108="Não",'AV 1'!E108,"-")</f>
        <v>-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69" t="str">
        <f>IF('AV 1'!F109="Às vezes",'AV 1'!E109,"-")</f>
        <v>-</v>
      </c>
      <c r="C203" s="69" t="str">
        <f>IF('AV 1'!F109="Não",'AV 1'!E109,"-")</f>
        <v>-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69" t="str">
        <f>IF('AV 1'!F110="Às vezes",'AV 1'!E110,"-")</f>
        <v>-</v>
      </c>
      <c r="C204" s="69" t="str">
        <f>IF('AV 1'!F110="Não",'AV 1'!E110,"-")</f>
        <v>-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69" t="str">
        <f>IF('AV 1'!F111="Às vezes",'AV 1'!E111,"-")</f>
        <v>-</v>
      </c>
      <c r="C205" s="69" t="str">
        <f>IF('AV 1'!F111="Não",'AV 1'!E111,"-")</f>
        <v>-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69" t="str">
        <f>IF('AV 1'!F112="Às vezes",'AV 1'!E112,"-")</f>
        <v>-</v>
      </c>
      <c r="C206" s="69" t="str">
        <f>IF('AV 1'!F112="Não",'AV 1'!E112,"-")</f>
        <v>-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69" t="str">
        <f>IF('AV 1'!F113="Às vezes",'AV 1'!E113,"-")</f>
        <v>-</v>
      </c>
      <c r="C207" s="69" t="str">
        <f>IF('AV 1'!F113="Não",'AV 1'!E113,"-")</f>
        <v>-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9" t="str">
        <f>IF('AV 1'!F114="Às vezes",'AV 1'!E114,"-")</f>
        <v>-</v>
      </c>
      <c r="C208" s="69" t="str">
        <f>IF('AV 1'!F114="Não",'AV 1'!E114,"-")</f>
        <v>-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69" t="str">
        <f>IF('AV 1'!F115="Às vezes",'AV 1'!E115,"-")</f>
        <v>-</v>
      </c>
      <c r="C209" s="69" t="str">
        <f>IF('AV 1'!F115="Não",'AV 1'!E115,"-")</f>
        <v>-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69" t="str">
        <f>IF('AV 1'!F116="Às vezes",'AV 1'!E116,"-")</f>
        <v>-</v>
      </c>
      <c r="C210" s="11" t="str">
        <f>IF('AV 1'!F116="Não",'AV 1'!E116,"-")</f>
        <v>-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69" t="str">
        <f>IF('AV 1'!F117="Às vezes",'AV 1'!E117,"-")</f>
        <v>-</v>
      </c>
      <c r="C211" s="11" t="str">
        <f>IF('AV 1'!F117="Não",'AV 1'!E117,"-")</f>
        <v>-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69" t="str">
        <f>IF('AV 1'!F118="Às vezes",'AV 1'!E118,"-")</f>
        <v>-</v>
      </c>
      <c r="C212" s="11" t="str">
        <f>IF('AV 1'!F118="Não",'AV 1'!E118,"-")</f>
        <v>-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69" t="str">
        <f>IF('AV 1'!F119="Às vezes",'AV 1'!E119,"-")</f>
        <v>-</v>
      </c>
      <c r="C213" s="11" t="str">
        <f>IF('AV 1'!F119="Não",'AV 1'!E119,"-")</f>
        <v>-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69" t="str">
        <f>IF('AV 1'!F120="Às vezes",'AV 1'!E120,"-")</f>
        <v>-</v>
      </c>
      <c r="C214" s="11" t="str">
        <f>IF('AV 1'!F120="Não",'AV 1'!E120,"-")</f>
        <v>-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69" t="str">
        <f>IF('AV 1'!F121="Às vezes",'AV 1'!E121,"-")</f>
        <v>-</v>
      </c>
      <c r="C215" s="11" t="str">
        <f>IF('AV 1'!F121="Não",'AV 1'!E121,"-")</f>
        <v>-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79" t="s">
        <v>11</v>
      </c>
      <c r="C216" s="79" t="s">
        <v>11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80" t="str">
        <f>IF('AV 1'!I13="Às vezes",'AV 1'!H13,"-")</f>
        <v>-</v>
      </c>
      <c r="C217" s="69" t="str">
        <f>IF('AV 1'!I13="Não",'AV 1'!H13,"-")</f>
        <v>-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81" t="str">
        <f>IF('AV 1'!I14="Às vezes",'AV 1'!H14,"-")</f>
        <v>-</v>
      </c>
      <c r="C218" s="69" t="str">
        <f>IF('AV 1'!I14="Não",'AV 1'!H14,"-")</f>
        <v>-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81" t="str">
        <f>IF('AV 1'!I15="Às vezes",'AV 1'!H15,"-")</f>
        <v>-</v>
      </c>
      <c r="C219" s="69" t="str">
        <f>IF('AV 1'!I15="Não",'AV 1'!H15,"-")</f>
        <v>-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81" t="str">
        <f>IF('AV 1'!I16="Às vezes",'AV 1'!H16,"-")</f>
        <v>-</v>
      </c>
      <c r="C220" s="69" t="str">
        <f>IF('AV 1'!I16="Não",'AV 1'!H16,"-")</f>
        <v>-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81" t="str">
        <f>IF('AV 1'!I17="Às vezes",'AV 1'!H17,"-")</f>
        <v>-</v>
      </c>
      <c r="C221" s="69" t="str">
        <f>IF('AV 1'!I17="Não",'AV 1'!H17,"-")</f>
        <v>-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81" t="str">
        <f>IF('AV 1'!I18="Às vezes",'AV 1'!H18,"-")</f>
        <v>-</v>
      </c>
      <c r="C222" s="69" t="str">
        <f>IF('AV 1'!I18="Não",'AV 1'!H18,"-")</f>
        <v>-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81" t="str">
        <f>IF('AV 1'!I19="Às vezes",'AV 1'!H19,"-")</f>
        <v>-</v>
      </c>
      <c r="C223" s="69" t="str">
        <f>IF('AV 1'!I19="Não",'AV 1'!H19,"-")</f>
        <v>-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81" t="str">
        <f>IF('AV 1'!I20="Às vezes",'AV 1'!H20,"-")</f>
        <v>-</v>
      </c>
      <c r="C224" s="69" t="str">
        <f>IF('AV 1'!I20="Não",'AV 1'!H20,"-")</f>
        <v>-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81" t="str">
        <f>IF('AV 1'!I21="Às vezes",'AV 1'!H21,"-")</f>
        <v>-</v>
      </c>
      <c r="C225" s="69" t="str">
        <f>IF('AV 1'!I21="Não",'AV 1'!H21,"-")</f>
        <v>-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81" t="str">
        <f>IF('AV 1'!I22="Às vezes",'AV 1'!H22,"-")</f>
        <v>-</v>
      </c>
      <c r="C226" s="69" t="str">
        <f>IF('AV 1'!I22="Não",'AV 1'!H22,"-")</f>
        <v>-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81" t="str">
        <f>IF('AV 1'!I23="Às vezes",'AV 1'!H23,"-")</f>
        <v>-</v>
      </c>
      <c r="C227" s="69" t="str">
        <f>IF('AV 1'!I23="Não",'AV 1'!H23,"-")</f>
        <v>-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81" t="str">
        <f>IF('AV 1'!I24="Às vezes",'AV 1'!H24,"-")</f>
        <v>-</v>
      </c>
      <c r="C228" s="69" t="str">
        <f>IF('AV 1'!I24="Não",'AV 1'!H24,"-")</f>
        <v>-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81" t="str">
        <f>IF('AV 1'!I25="Às vezes",'AV 1'!H25,"-")</f>
        <v>-</v>
      </c>
      <c r="C229" s="69" t="str">
        <f>IF('AV 1'!I25="Não",'AV 1'!H25,"-")</f>
        <v>-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81" t="str">
        <f>IF('AV 1'!I26="Às vezes",'AV 1'!H26,"-")</f>
        <v>-</v>
      </c>
      <c r="C230" s="69" t="str">
        <f>IF('AV 1'!I26="Não",'AV 1'!H26,"-")</f>
        <v>-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81" t="str">
        <f>IF('AV 1'!I27="Às vezes",'AV 1'!H27,"-")</f>
        <v>-</v>
      </c>
      <c r="C231" s="69" t="str">
        <f>IF('AV 1'!I27="Não",'AV 1'!H27,"-")</f>
        <v>-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81" t="str">
        <f>IF('AV 1'!I28="Às vezes",'AV 1'!H28,"-")</f>
        <v>-</v>
      </c>
      <c r="C232" s="69" t="str">
        <f>IF('AV 1'!I28="Não",'AV 1'!H28,"-")</f>
        <v>-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81" t="str">
        <f>IF('AV 1'!I29="Às vezes",'AV 1'!H29,"-")</f>
        <v>-</v>
      </c>
      <c r="C233" s="69" t="str">
        <f>IF('AV 1'!I29="Não",'AV 1'!H29,"-")</f>
        <v>-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81" t="str">
        <f>IF('AV 1'!I30="Às vezes",'AV 1'!H30,"-")</f>
        <v>-</v>
      </c>
      <c r="C234" s="69" t="str">
        <f>IF('AV 1'!I30="Não",'AV 1'!H30,"-")</f>
        <v>-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81" t="str">
        <f>IF('AV 1'!I31="Às vezes",'AV 1'!H31,"-")</f>
        <v>-</v>
      </c>
      <c r="C235" s="69" t="str">
        <f>IF('AV 1'!I31="Não",'AV 1'!H31,"-")</f>
        <v>-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81" t="str">
        <f>IF('AV 1'!I32="Às vezes",'AV 1'!H32,"-")</f>
        <v>-</v>
      </c>
      <c r="C236" s="69" t="str">
        <f>IF('AV 1'!I32="Não",'AV 1'!H32,"-")</f>
        <v>-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81" t="str">
        <f>IF('AV 1'!I33="Às vezes",'AV 1'!H33,"-")</f>
        <v>-</v>
      </c>
      <c r="C237" s="69" t="str">
        <f>IF('AV 1'!I33="Não",'AV 1'!H33,"-")</f>
        <v>-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81" t="str">
        <f>IF('AV 1'!I34="Às vezes",'AV 1'!H34,"-")</f>
        <v>-</v>
      </c>
      <c r="C238" s="69" t="str">
        <f>IF('AV 1'!I34="Não",'AV 1'!H34,"-")</f>
        <v>-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81" t="str">
        <f>IF('AV 1'!I35="Às vezes",'AV 1'!H35,"-")</f>
        <v>-</v>
      </c>
      <c r="C239" s="69" t="str">
        <f>IF('AV 1'!I35="Não",'AV 1'!H35,"-")</f>
        <v>-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81" t="str">
        <f>IF('AV 1'!I36="Às vezes",'AV 1'!H36,"-")</f>
        <v>-</v>
      </c>
      <c r="C240" s="69" t="str">
        <f>IF('AV 1'!I36="Não",'AV 1'!H36,"-")</f>
        <v>-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81" t="str">
        <f>IF('AV 1'!I37="Às vezes",'AV 1'!H37,"-")</f>
        <v>-</v>
      </c>
      <c r="C241" s="69" t="str">
        <f>IF('AV 1'!I37="Não",'AV 1'!H37,"-")</f>
        <v>-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81" t="str">
        <f>IF('AV 1'!I38="Às vezes",'AV 1'!H38,"-")</f>
        <v>-</v>
      </c>
      <c r="C242" s="69" t="str">
        <f>IF('AV 1'!I38="Não",'AV 1'!H38,"-")</f>
        <v>-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81" t="str">
        <f>IF('AV 1'!I39="Às vezes",'AV 1'!H39,"-")</f>
        <v>-</v>
      </c>
      <c r="C243" s="69" t="str">
        <f>IF('AV 1'!I39="Não",'AV 1'!H39,"-")</f>
        <v>-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81" t="str">
        <f>IF('AV 1'!I40="Às vezes",'AV 1'!H40,"-")</f>
        <v>-</v>
      </c>
      <c r="C244" s="69" t="str">
        <f>IF('AV 1'!I40="Não",'AV 1'!H40,"-")</f>
        <v>-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81" t="str">
        <f>IF('AV 1'!I41="Às vezes",'AV 1'!H41,"-")</f>
        <v>-</v>
      </c>
      <c r="C245" s="69" t="str">
        <f>IF('AV 1'!I41="Não",'AV 1'!H41,"-")</f>
        <v>-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81" t="str">
        <f>IF('AV 1'!I42="Às vezes",'AV 1'!H42,"-")</f>
        <v>-</v>
      </c>
      <c r="C246" s="69" t="str">
        <f>IF('AV 1'!I42="Não",'AV 1'!H42,"-")</f>
        <v>-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81" t="str">
        <f>IF('AV 1'!I43="Às vezes",'AV 1'!H43,"-")</f>
        <v>-</v>
      </c>
      <c r="C247" s="69" t="str">
        <f>IF('AV 1'!I43="Não",'AV 1'!H43,"-")</f>
        <v>-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81" t="str">
        <f>IF('AV 1'!I44="Às vezes",'AV 1'!H44,"-")</f>
        <v>-</v>
      </c>
      <c r="C248" s="69" t="str">
        <f>IF('AV 1'!I44="Não",'AV 1'!H44,"-")</f>
        <v>-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81" t="str">
        <f>IF('AV 1'!I45="Às vezes",'AV 1'!H45,"-")</f>
        <v>-</v>
      </c>
      <c r="C249" s="69" t="str">
        <f>IF('AV 1'!I45="Não",'AV 1'!H45,"-")</f>
        <v>-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81" t="str">
        <f>IF('AV 1'!I46="Às vezes",'AV 1'!H46,"-")</f>
        <v>-</v>
      </c>
      <c r="C250" s="69" t="str">
        <f>IF('AV 1'!I46="Não",'AV 1'!H46,"-")</f>
        <v>-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81" t="str">
        <f>IF('AV 1'!I47="Às vezes",'AV 1'!H47,"-")</f>
        <v>-</v>
      </c>
      <c r="C251" s="69" t="str">
        <f>IF('AV 1'!I47="Não",'AV 1'!H47,"-")</f>
        <v>-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81" t="str">
        <f>IF('AV 1'!I48="Às vezes",'AV 1'!H48,"-")</f>
        <v>-</v>
      </c>
      <c r="C252" s="69" t="str">
        <f>IF('AV 1'!I48="Não",'AV 1'!H48,"-")</f>
        <v>-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81" t="str">
        <f>IF('AV 1'!I49="Às vezes",'AV 1'!H49,"-")</f>
        <v>-</v>
      </c>
      <c r="C253" s="69" t="str">
        <f>IF('AV 1'!I49="Não",'AV 1'!H49,"-")</f>
        <v>-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81" t="str">
        <f>IF('AV 1'!I50="Às vezes",'AV 1'!H50,"-")</f>
        <v>-</v>
      </c>
      <c r="C254" s="69" t="str">
        <f>IF('AV 1'!I50="Não",'AV 1'!H50,"-")</f>
        <v>-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81" t="str">
        <f>IF('AV 1'!I51="Às vezes",'AV 1'!H51,"-")</f>
        <v>-</v>
      </c>
      <c r="C255" s="69" t="str">
        <f>IF('AV 1'!I51="Não",'AV 1'!H51,"-")</f>
        <v>-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81" t="str">
        <f>IF('AV 1'!I52="Às vezes",'AV 1'!H52,"-")</f>
        <v>-</v>
      </c>
      <c r="C256" s="69" t="str">
        <f>IF('AV 1'!I52="Não",'AV 1'!H52,"-")</f>
        <v>-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81" t="str">
        <f>IF('AV 1'!I53="Às vezes",'AV 1'!H53,"-")</f>
        <v>-</v>
      </c>
      <c r="C257" s="69" t="str">
        <f>IF('AV 1'!I53="Não",'AV 1'!H53,"-")</f>
        <v>-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81" t="str">
        <f>IF('AV 1'!I54="Às vezes",'AV 1'!H54,"-")</f>
        <v>-</v>
      </c>
      <c r="C258" s="69" t="str">
        <f>IF('AV 1'!I54="Não",'AV 1'!H54,"-")</f>
        <v>-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81" t="str">
        <f>IF('AV 1'!I55="Às vezes",'AV 1'!H55,"-")</f>
        <v>-</v>
      </c>
      <c r="C259" s="69" t="str">
        <f>IF('AV 1'!I55="Não",'AV 1'!H55,"-")</f>
        <v>-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81" t="str">
        <f>IF('AV 1'!I56="Às vezes",'AV 1'!H56,"-")</f>
        <v>-</v>
      </c>
      <c r="C260" s="69" t="str">
        <f>IF('AV 1'!I56="Não",'AV 1'!H56,"-")</f>
        <v>-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81" t="str">
        <f>IF('AV 1'!I57="Às vezes",'AV 1'!H57,"-")</f>
        <v>-</v>
      </c>
      <c r="C261" s="69" t="str">
        <f>IF('AV 1'!I57="Não",'AV 1'!H57,"-")</f>
        <v>-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81" t="str">
        <f>IF('AV 1'!I58="Às vezes",'AV 1'!H58,"-")</f>
        <v>-</v>
      </c>
      <c r="C262" s="69" t="str">
        <f>IF('AV 1'!I58="Não",'AV 1'!H58,"-")</f>
        <v>-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81" t="str">
        <f>IF('AV 1'!I59="Às vezes",'AV 1'!H59,"-")</f>
        <v>-</v>
      </c>
      <c r="C263" s="69" t="str">
        <f>IF('AV 1'!I59="Não",'AV 1'!H59,"-")</f>
        <v>-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81" t="str">
        <f>IF('AV 1'!I60="Às vezes",'AV 1'!H60,"-")</f>
        <v>-</v>
      </c>
      <c r="C264" s="69" t="str">
        <f>IF('AV 1'!I60="Não",'AV 1'!H60,"-")</f>
        <v>-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81" t="str">
        <f>IF('AV 1'!I61="Às vezes",'AV 1'!H61,"-")</f>
        <v>-</v>
      </c>
      <c r="C265" s="69" t="str">
        <f>IF('AV 1'!I61="Não",'AV 1'!H61,"-")</f>
        <v>-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81" t="str">
        <f>IF('AV 1'!I62="Às vezes",'AV 1'!H62,"-")</f>
        <v>-</v>
      </c>
      <c r="C266" s="69" t="str">
        <f>IF('AV 1'!I62="Não",'AV 1'!H62,"-")</f>
        <v>-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81" t="str">
        <f>IF('AV 1'!I63="Às vezes",'AV 1'!H63,"-")</f>
        <v>-</v>
      </c>
      <c r="C267" s="69" t="str">
        <f>IF('AV 1'!I63="Não",'AV 1'!H63,"-")</f>
        <v>-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81" t="str">
        <f>IF('AV 1'!I64="Às vezes",'AV 1'!H64,"-")</f>
        <v>-</v>
      </c>
      <c r="C268" s="69" t="str">
        <f>IF('AV 1'!I64="Não",'AV 1'!H64,"-")</f>
        <v>-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81" t="str">
        <f>IF('AV 1'!I65="Às vezes",'AV 1'!H65,"-")</f>
        <v>-</v>
      </c>
      <c r="C269" s="69" t="str">
        <f>IF('AV 1'!I65="Não",'AV 1'!H65,"-")</f>
        <v>-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81" t="str">
        <f>IF('AV 1'!I66="Às vezes",'AV 1'!H66,"-")</f>
        <v>-</v>
      </c>
      <c r="C270" s="69" t="str">
        <f>IF('AV 1'!I66="Não",'AV 1'!H66,"-")</f>
        <v>-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81" t="str">
        <f>IF('AV 1'!I67="Às vezes",'AV 1'!H67,"-")</f>
        <v>-</v>
      </c>
      <c r="C271" s="69" t="str">
        <f>IF('AV 1'!I67="Não",'AV 1'!H67,"-")</f>
        <v>-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81" t="str">
        <f>IF('AV 1'!I68="Às vezes",'AV 1'!H68,"-")</f>
        <v>-</v>
      </c>
      <c r="C272" s="69" t="str">
        <f>IF('AV 1'!I68="Não",'AV 1'!H68,"-")</f>
        <v>-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81" t="str">
        <f>IF('AV 1'!I69="Às vezes",'AV 1'!H69,"-")</f>
        <v>-</v>
      </c>
      <c r="C273" s="69" t="str">
        <f>IF('AV 1'!I69="Não",'AV 1'!H69,"-")</f>
        <v>-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81" t="str">
        <f>IF('AV 1'!I70="Às vezes",'AV 1'!H70,"-")</f>
        <v>-</v>
      </c>
      <c r="C274" s="69" t="str">
        <f>IF('AV 1'!I70="Não",'AV 1'!H70,"-")</f>
        <v>-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81" t="str">
        <f>IF('AV 1'!I71="Às vezes",'AV 1'!H71,"-")</f>
        <v>-</v>
      </c>
      <c r="C275" s="69" t="str">
        <f>IF('AV 1'!I71="Não",'AV 1'!H71,"-")</f>
        <v>-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81" t="str">
        <f>IF('AV 1'!I72="Às vezes",'AV 1'!H72,"-")</f>
        <v>-</v>
      </c>
      <c r="C276" s="69" t="str">
        <f>IF('AV 1'!I72="Não",'AV 1'!H72,"-")</f>
        <v>-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81" t="str">
        <f>IF('AV 1'!I73="Às vezes",'AV 1'!H73,"-")</f>
        <v>-</v>
      </c>
      <c r="C277" s="69" t="str">
        <f>IF('AV 1'!I73="Não",'AV 1'!H73,"-")</f>
        <v>-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81" t="str">
        <f>IF('AV 1'!I74="Às vezes",'AV 1'!H74,"-")</f>
        <v>-</v>
      </c>
      <c r="C278" s="69" t="str">
        <f>IF('AV 1'!I74="Não",'AV 1'!H74,"-")</f>
        <v>-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81" t="str">
        <f>IF('AV 1'!I75="Às vezes",'AV 1'!H75,"-")</f>
        <v>-</v>
      </c>
      <c r="C279" s="69" t="str">
        <f>IF('AV 1'!I75="Não",'AV 1'!H75,"-")</f>
        <v>-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81" t="str">
        <f>IF('AV 1'!I76="Às vezes",'AV 1'!H76,"-")</f>
        <v>-</v>
      </c>
      <c r="C280" s="69" t="str">
        <f>IF('AV 1'!I76="Não",'AV 1'!H76,"-")</f>
        <v>-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81" t="str">
        <f>IF('AV 1'!I77="Às vezes",'AV 1'!H77,"-")</f>
        <v>-</v>
      </c>
      <c r="C281" s="69" t="str">
        <f>IF('AV 1'!I77="Não",'AV 1'!H77,"-")</f>
        <v>-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81" t="str">
        <f>IF('AV 1'!I78="Às vezes",'AV 1'!H78,"-")</f>
        <v>-</v>
      </c>
      <c r="C282" s="69" t="str">
        <f>IF('AV 1'!I78="Não",'AV 1'!H78,"-")</f>
        <v>-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81" t="str">
        <f>IF('AV 1'!I79="Às vezes",'AV 1'!H79,"-")</f>
        <v>-</v>
      </c>
      <c r="C283" s="69" t="str">
        <f>IF('AV 1'!I79="Não",'AV 1'!H79,"-")</f>
        <v>-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81" t="str">
        <f>IF('AV 1'!I80="Às vezes",'AV 1'!H80,"-")</f>
        <v>-</v>
      </c>
      <c r="C284" s="69" t="str">
        <f>IF('AV 1'!I80="Não",'AV 1'!H80,"-")</f>
        <v>-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81" t="str">
        <f>IF('AV 1'!I81="Às vezes",'AV 1'!H81,"-")</f>
        <v>-</v>
      </c>
      <c r="C285" s="69" t="str">
        <f>IF('AV 1'!I81="Não",'AV 1'!H81,"-")</f>
        <v>-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81" t="str">
        <f>IF('AV 1'!I82="Às vezes",'AV 1'!H82,"-")</f>
        <v>-</v>
      </c>
      <c r="C286" s="69" t="str">
        <f>IF('AV 1'!I82="Não",'AV 1'!H82,"-")</f>
        <v>-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81" t="str">
        <f>IF('AV 1'!I83="Às vezes",'AV 1'!H83,"-")</f>
        <v>-</v>
      </c>
      <c r="C287" s="69" t="str">
        <f>IF('AV 1'!I83="Não",'AV 1'!H83,"-")</f>
        <v>-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81" t="str">
        <f>IF('AV 1'!I84="Às vezes",'AV 1'!H84,"-")</f>
        <v>-</v>
      </c>
      <c r="C288" s="69" t="str">
        <f>IF('AV 1'!I84="Não",'AV 1'!H84,"-")</f>
        <v>-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81" t="str">
        <f>IF('AV 1'!I85="Às vezes",'AV 1'!H85,"-")</f>
        <v>-</v>
      </c>
      <c r="C289" s="69" t="str">
        <f>IF('AV 1'!I85="Não",'AV 1'!H85,"-")</f>
        <v>-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81" t="str">
        <f>IF('AV 1'!I86="Às vezes",'AV 1'!H86,"-")</f>
        <v>-</v>
      </c>
      <c r="C290" s="69" t="str">
        <f>IF('AV 1'!I86="Não",'AV 1'!H86,"-")</f>
        <v>-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81" t="str">
        <f>IF('AV 1'!I87="Às vezes",'AV 1'!H87,"-")</f>
        <v>-</v>
      </c>
      <c r="C291" s="69" t="str">
        <f>IF('AV 1'!I87="Não",'AV 1'!H87,"-")</f>
        <v>-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81" t="str">
        <f>IF('AV 1'!I88="Às vezes",'AV 1'!H88,"-")</f>
        <v>-</v>
      </c>
      <c r="C292" s="69" t="str">
        <f>IF('AV 1'!I88="Não",'AV 1'!H88,"-")</f>
        <v>-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81" t="str">
        <f>IF('AV 1'!I89="Às vezes",'AV 1'!H89,"-")</f>
        <v>-</v>
      </c>
      <c r="C293" s="69" t="str">
        <f>IF('AV 1'!I89="Não",'AV 1'!H89,"-")</f>
        <v>-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81" t="str">
        <f>IF('AV 1'!I90="Às vezes",'AV 1'!H90,"-")</f>
        <v>-</v>
      </c>
      <c r="C294" s="69" t="str">
        <f>IF('AV 1'!I90="Não",'AV 1'!H90,"-")</f>
        <v>-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81" t="str">
        <f>IF('AV 1'!I91="Às vezes",'AV 1'!H91,"-")</f>
        <v>-</v>
      </c>
      <c r="C295" s="69" t="str">
        <f>IF('AV 1'!I91="Não",'AV 1'!H91,"-")</f>
        <v>-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81" t="str">
        <f>IF('AV 1'!I92="Às vezes",'AV 1'!H92,"-")</f>
        <v>-</v>
      </c>
      <c r="C296" s="69" t="str">
        <f>IF('AV 1'!I92="Não",'AV 1'!H92,"-")</f>
        <v>-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81" t="str">
        <f>IF('AV 1'!I93="Às vezes",'AV 1'!H93,"-")</f>
        <v>-</v>
      </c>
      <c r="C297" s="69" t="str">
        <f>IF('AV 1'!I93="Não",'AV 1'!H93,"-")</f>
        <v>-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81" t="str">
        <f>IF('AV 1'!I94="Às vezes",'AV 1'!H94,"-")</f>
        <v>-</v>
      </c>
      <c r="C298" s="69" t="str">
        <f>IF('AV 1'!I94="Não",'AV 1'!H94,"-")</f>
        <v>-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81" t="str">
        <f>IF('AV 1'!I95="Às vezes",'AV 1'!H95,"-")</f>
        <v>-</v>
      </c>
      <c r="C299" s="69" t="str">
        <f>IF('AV 1'!I95="Não",'AV 1'!H95,"-")</f>
        <v>-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81" t="str">
        <f>IF('AV 1'!I96="Às vezes",'AV 1'!H96,"-")</f>
        <v>-</v>
      </c>
      <c r="C300" s="69" t="str">
        <f>IF('AV 1'!I96="Não",'AV 1'!H96,"-")</f>
        <v>-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81" t="str">
        <f>IF('AV 1'!I97="Às vezes",'AV 1'!H97,"-")</f>
        <v>-</v>
      </c>
      <c r="C301" s="69" t="str">
        <f>IF('AV 1'!I97="Não",'AV 1'!H97,"-")</f>
        <v>-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81" t="str">
        <f>IF('AV 1'!I98="Às vezes",'AV 1'!H98,"-")</f>
        <v>-</v>
      </c>
      <c r="C302" s="69" t="str">
        <f>IF('AV 1'!I98="Não",'AV 1'!H98,"-")</f>
        <v>-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81" t="str">
        <f>IF('AV 1'!I99="Às vezes",'AV 1'!H99,"-")</f>
        <v>-</v>
      </c>
      <c r="C303" s="69" t="str">
        <f>IF('AV 1'!I99="Não",'AV 1'!H99,"-")</f>
        <v>-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81" t="str">
        <f>IF('AV 1'!I100="Às vezes",'AV 1'!H100,"-")</f>
        <v>-</v>
      </c>
      <c r="C304" s="69" t="str">
        <f>IF('AV 1'!I100="Não",'AV 1'!H100,"-")</f>
        <v>-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81" t="str">
        <f>IF('AV 1'!I101="Às vezes",'AV 1'!H101,"-")</f>
        <v>-</v>
      </c>
      <c r="C305" s="69" t="str">
        <f>IF('AV 1'!I101="Não",'AV 1'!H101,"-")</f>
        <v>-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81" t="str">
        <f>IF('AV 1'!I102="Às vezes",'AV 1'!H102,"-")</f>
        <v>-</v>
      </c>
      <c r="C306" s="69" t="str">
        <f>IF('AV 1'!I102="Não",'AV 1'!H102,"-")</f>
        <v>-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81" t="str">
        <f>IF('AV 1'!I103="Às vezes",'AV 1'!H103,"-")</f>
        <v>-</v>
      </c>
      <c r="C307" s="69" t="str">
        <f>IF('AV 1'!I103="Não",'AV 1'!H103,"-")</f>
        <v>-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81" t="str">
        <f>IF('AV 1'!I104="Às vezes",'AV 1'!H104,"-")</f>
        <v>-</v>
      </c>
      <c r="C308" s="69" t="str">
        <f>IF('AV 1'!I104="Não",'AV 1'!H104,"-")</f>
        <v>-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81" t="str">
        <f>IF('AV 1'!I105="Às vezes",'AV 1'!H105,"-")</f>
        <v>-</v>
      </c>
      <c r="C309" s="69" t="str">
        <f>IF('AV 1'!I105="Não",'AV 1'!H105,"-")</f>
        <v>-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81" t="str">
        <f>IF('AV 1'!I106="Às vezes",'AV 1'!H106,"-")</f>
        <v>-</v>
      </c>
      <c r="C310" s="69" t="str">
        <f>IF('AV 1'!I106="Não",'AV 1'!H106,"-")</f>
        <v>-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81" t="str">
        <f>IF('AV 1'!I107="Às vezes",'AV 1'!H107,"-")</f>
        <v>-</v>
      </c>
      <c r="C311" s="69" t="str">
        <f>IF('AV 1'!I107="Não",'AV 1'!H107,"-")</f>
        <v>-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81" t="str">
        <f>IF('AV 1'!I108="Às vezes",'AV 1'!H108,"-")</f>
        <v>-</v>
      </c>
      <c r="C312" s="69" t="str">
        <f>IF('AV 1'!I108="Não",'AV 1'!H108,"-")</f>
        <v>-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81" t="str">
        <f>IF('AV 1'!I109="Às vezes",'AV 1'!H109,"-")</f>
        <v>-</v>
      </c>
      <c r="C313" s="69" t="str">
        <f>IF('AV 1'!I109="Não",'AV 1'!H109,"-")</f>
        <v>-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81" t="str">
        <f>IF('AV 1'!I110="Às vezes",'AV 1'!H110,"-")</f>
        <v>-</v>
      </c>
      <c r="C314" s="69" t="str">
        <f>IF('AV 1'!I110="Não",'AV 1'!H110,"-")</f>
        <v>-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81" t="str">
        <f>IF('AV 1'!I111="Às vezes",'AV 1'!H111,"-")</f>
        <v>-</v>
      </c>
      <c r="C315" s="69" t="str">
        <f>IF('AV 1'!I111="Não",'AV 1'!H111,"-")</f>
        <v>-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81" t="str">
        <f>IF('AV 1'!I112="Às vezes",'AV 1'!H112,"-")</f>
        <v>-</v>
      </c>
      <c r="C316" s="69" t="str">
        <f>IF('AV 1'!I112="Não",'AV 1'!H112,"-")</f>
        <v>-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81" t="str">
        <f>IF('AV 1'!I113="Às vezes",'AV 1'!H113,"-")</f>
        <v>-</v>
      </c>
      <c r="C317" s="69" t="str">
        <f>IF('AV 1'!I113="Não",'AV 1'!H113,"-")</f>
        <v>-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81" t="str">
        <f>IF('AV 1'!I114="Às vezes",'AV 1'!H114,"-")</f>
        <v>-</v>
      </c>
      <c r="C318" s="69" t="str">
        <f>IF('AV 1'!I114="Não",'AV 1'!H114,"-")</f>
        <v>-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81" t="str">
        <f>IF('AV 1'!I115="Às vezes",'AV 1'!H115,"-")</f>
        <v>-</v>
      </c>
      <c r="C319" s="69" t="str">
        <f>IF('AV 1'!I115="Não",'AV 1'!H115,"-")</f>
        <v>-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81" t="str">
        <f>IF('AV 1'!I116="Às vezes",'AV 1'!H116,"-")</f>
        <v>-</v>
      </c>
      <c r="C320" s="69" t="str">
        <f>IF('AV 1'!I116="Não",'AV 1'!H116,"-")</f>
        <v>-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81" t="str">
        <f>IF('AV 1'!I117="Às vezes",'AV 1'!H117,"-")</f>
        <v>-</v>
      </c>
      <c r="C321" s="69" t="str">
        <f>IF('AV 1'!I117="Não",'AV 1'!H117,"-")</f>
        <v>-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81" t="str">
        <f>IF('AV 1'!I118="Às vezes",'AV 1'!H118,"-")</f>
        <v>-</v>
      </c>
      <c r="C322" s="69" t="str">
        <f>IF('AV 1'!I118="Não",'AV 1'!H118,"-")</f>
        <v>-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81" t="str">
        <f>IF('AV 1'!I119="Às vezes",'AV 1'!H119,"-")</f>
        <v>-</v>
      </c>
      <c r="C323" s="69" t="str">
        <f>IF('AV 1'!I119="Não",'AV 1'!H119,"-")</f>
        <v>-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81" t="str">
        <f>IF('AV 1'!I120="Às vezes",'AV 1'!H120,"-")</f>
        <v>-</v>
      </c>
      <c r="C324" s="69" t="str">
        <f>IF('AV 1'!I120="Não",'AV 1'!H120,"-")</f>
        <v>-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81" t="str">
        <f>IF('AV 1'!I121="Às vezes",'AV 1'!H121,"-")</f>
        <v>-</v>
      </c>
      <c r="C325" s="69" t="str">
        <f>IF('AV 1'!I121="Não",'AV 1'!H121,"-")</f>
        <v>-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81" t="str">
        <f>IF('AV 1'!I122="Às vezes",'AV 1'!H122,"-")</f>
        <v>-</v>
      </c>
      <c r="C326" s="69" t="str">
        <f>IF('AV 1'!I122="Não",'AV 1'!H122,"-")</f>
        <v>-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81" t="str">
        <f>IF('AV 1'!I123="Às vezes",'AV 1'!H123,"-")</f>
        <v>-</v>
      </c>
      <c r="C327" s="69" t="str">
        <f>IF('AV 1'!I123="Não",'AV 1'!H123,"-")</f>
        <v>-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81" t="str">
        <f>IF('AV 1'!I124="Às vezes",'AV 1'!H124,"-")</f>
        <v>-</v>
      </c>
      <c r="C328" s="69" t="str">
        <f>IF('AV 1'!I124="Não",'AV 1'!H124,"-")</f>
        <v>-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81" t="str">
        <f>IF('AV 1'!I125="Às vezes",'AV 1'!H125,"-")</f>
        <v>-</v>
      </c>
      <c r="C329" s="69" t="str">
        <f>IF('AV 1'!I125="Não",'AV 1'!H125,"-")</f>
        <v>-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81" t="str">
        <f>IF('AV 1'!I126="Às vezes",'AV 1'!H126,"-")</f>
        <v>-</v>
      </c>
      <c r="C330" s="69" t="str">
        <f>IF('AV 1'!I126="Não",'AV 1'!H126,"-")</f>
        <v>-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81" t="str">
        <f>IF('AV 1'!I127="Às vezes",'AV 1'!H127,"-")</f>
        <v>-</v>
      </c>
      <c r="C331" s="69" t="str">
        <f>IF('AV 1'!I127="Não",'AV 1'!H127,"-")</f>
        <v>-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81" t="str">
        <f>IF('AV 1'!I128="Às vezes",'AV 1'!H128,"-")</f>
        <v>-</v>
      </c>
      <c r="C332" s="69" t="str">
        <f>IF('AV 1'!I128="Não",'AV 1'!H128,"-")</f>
        <v>-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81" t="str">
        <f>IF('AV 1'!I129="Às vezes",'AV 1'!H129,"-")</f>
        <v>-</v>
      </c>
      <c r="C333" s="69" t="str">
        <f>IF('AV 1'!I129="Não",'AV 1'!H129,"-")</f>
        <v>-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81" t="str">
        <f>IF('AV 1'!I130="Às vezes",'AV 1'!H130,"-")</f>
        <v>-</v>
      </c>
      <c r="C334" s="69" t="str">
        <f>IF('AV 1'!I130="Não",'AV 1'!H130,"-")</f>
        <v>-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81" t="str">
        <f>IF('AV 1'!I131="Às vezes",'AV 1'!H131,"-")</f>
        <v>-</v>
      </c>
      <c r="C335" s="69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79" t="s">
        <v>12</v>
      </c>
      <c r="C336" s="79" t="s">
        <v>12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80" t="str">
        <f>IF('AV 1'!L13="Às vezes",'AV 1'!K13,"-")</f>
        <v>-</v>
      </c>
      <c r="C337" s="69" t="str">
        <f>IF('AV 1'!L13="Não",'AV 1'!K13,"-")</f>
        <v>-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81" t="str">
        <f>IF('AV 1'!L14="Às vezes",'AV 1'!K14,"-")</f>
        <v>-</v>
      </c>
      <c r="C338" s="69" t="str">
        <f>IF('AV 1'!L14="Não",'AV 1'!K14,"-")</f>
        <v>-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81" t="str">
        <f>IF('AV 1'!L15="Às vezes",'AV 1'!K15,"-")</f>
        <v>-</v>
      </c>
      <c r="C339" s="69" t="str">
        <f>IF('AV 1'!L15="Não",'AV 1'!K15,"-")</f>
        <v>-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81" t="str">
        <f>IF('AV 1'!L16="Às vezes",'AV 1'!K16,"-")</f>
        <v>-</v>
      </c>
      <c r="C340" s="69" t="str">
        <f>IF('AV 1'!L16="Não",'AV 1'!K16,"-")</f>
        <v>-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81" t="str">
        <f>IF('AV 1'!L17="Às vezes",'AV 1'!K17,"-")</f>
        <v>-</v>
      </c>
      <c r="C341" s="69" t="str">
        <f>IF('AV 1'!L17="Não",'AV 1'!K17,"-")</f>
        <v>-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81" t="str">
        <f>IF('AV 1'!L18="Às vezes",'AV 1'!K18,"-")</f>
        <v>-</v>
      </c>
      <c r="C342" s="69" t="str">
        <f>IF('AV 1'!L18="Não",'AV 1'!K18,"-")</f>
        <v>-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81" t="str">
        <f>IF('AV 1'!L19="Às vezes",'AV 1'!K19,"-")</f>
        <v>-</v>
      </c>
      <c r="C343" s="69" t="str">
        <f>IF('AV 1'!L19="Não",'AV 1'!K19,"-")</f>
        <v>-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81" t="str">
        <f>IF('AV 1'!L20="Às vezes",'AV 1'!K20,"-")</f>
        <v>-</v>
      </c>
      <c r="C344" s="69" t="str">
        <f>IF('AV 1'!L20="Não",'AV 1'!K20,"-")</f>
        <v>-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81" t="str">
        <f>IF('AV 1'!L21="Às vezes",'AV 1'!K21,"-")</f>
        <v>-</v>
      </c>
      <c r="C345" s="69" t="str">
        <f>IF('AV 1'!L21="Não",'AV 1'!K21,"-")</f>
        <v>-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81" t="str">
        <f>IF('AV 1'!L22="Às vezes",'AV 1'!K22,"-")</f>
        <v>-</v>
      </c>
      <c r="C346" s="69" t="str">
        <f>IF('AV 1'!L22="Não",'AV 1'!K22,"-")</f>
        <v>-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81" t="str">
        <f>IF('AV 1'!L23="Às vezes",'AV 1'!K23,"-")</f>
        <v>-</v>
      </c>
      <c r="C347" s="69" t="str">
        <f>IF('AV 1'!L23="Não",'AV 1'!K23,"-")</f>
        <v>-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5.5" customHeight="1">
      <c r="A348" s="1"/>
      <c r="B348" s="81" t="str">
        <f>IF('AV 1'!L24="Às vezes",'AV 1'!K24,"-")</f>
        <v>-</v>
      </c>
      <c r="C348" s="69" t="str">
        <f>IF('AV 1'!L24="Não",'AV 1'!K24,"-")</f>
        <v>-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81" t="str">
        <f>IF('AV 1'!L25="Às vezes",'AV 1'!K25,"-")</f>
        <v>-</v>
      </c>
      <c r="C349" s="69" t="str">
        <f>IF('AV 1'!L25="Não",'AV 1'!K25,"-")</f>
        <v>-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81" t="str">
        <f>IF('AV 1'!L26="Às vezes",'AV 1'!K26,"-")</f>
        <v>-</v>
      </c>
      <c r="C350" s="69" t="str">
        <f>IF('AV 1'!L26="Não",'AV 1'!K26,"-")</f>
        <v>-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81" t="str">
        <f>IF('AV 1'!L27="Às vezes",'AV 1'!K27,"-")</f>
        <v>-</v>
      </c>
      <c r="C351" s="69" t="str">
        <f>IF('AV 1'!L27="Não",'AV 1'!K27,"-")</f>
        <v>-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81" t="str">
        <f>IF('AV 1'!L28="Às vezes",'AV 1'!K28,"-")</f>
        <v>-</v>
      </c>
      <c r="C352" s="69" t="str">
        <f>IF('AV 1'!L28="Não",'AV 1'!K28,"-")</f>
        <v>-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81" t="str">
        <f>IF('AV 1'!L29="Às vezes",'AV 1'!K29,"-")</f>
        <v>-</v>
      </c>
      <c r="C353" s="69" t="str">
        <f>IF('AV 1'!L29="Não",'AV 1'!K29,"-")</f>
        <v>-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81" t="str">
        <f>IF('AV 1'!L30="Às vezes",'AV 1'!K30,"-")</f>
        <v>-</v>
      </c>
      <c r="C354" s="69" t="str">
        <f>IF('AV 1'!L30="Não",'AV 1'!K30,"-")</f>
        <v>-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81" t="str">
        <f>IF('AV 1'!L31="Às vezes",'AV 1'!K31,"-")</f>
        <v>-</v>
      </c>
      <c r="C355" s="69" t="str">
        <f>IF('AV 1'!L31="Não",'AV 1'!K31,"-")</f>
        <v>-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81" t="str">
        <f>IF('AV 1'!L32="Às vezes",'AV 1'!K32,"-")</f>
        <v>-</v>
      </c>
      <c r="C356" s="69" t="str">
        <f>IF('AV 1'!L32="Não",'AV 1'!K32,"-")</f>
        <v>-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81" t="str">
        <f>IF('AV 1'!L33="Às vezes",'AV 1'!K33,"-")</f>
        <v>-</v>
      </c>
      <c r="C357" s="69" t="str">
        <f>IF('AV 1'!L33="Não",'AV 1'!K33,"-")</f>
        <v>-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81" t="str">
        <f>IF('AV 1'!L34="Às vezes",'AV 1'!K34,"-")</f>
        <v>-</v>
      </c>
      <c r="C358" s="69" t="str">
        <f>IF('AV 1'!L34="Não",'AV 1'!K34,"-")</f>
        <v>-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81" t="str">
        <f>IF('AV 1'!L35="Às vezes",'AV 1'!K35,"-")</f>
        <v>-</v>
      </c>
      <c r="C359" s="69" t="str">
        <f>IF('AV 1'!L35="Não",'AV 1'!K35,"-")</f>
        <v>-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81" t="str">
        <f>IF('AV 1'!L36="Às vezes",'AV 1'!K36,"-")</f>
        <v>-</v>
      </c>
      <c r="C360" s="69" t="str">
        <f>IF('AV 1'!L36="Não",'AV 1'!K36,"-")</f>
        <v>-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81" t="str">
        <f>IF('AV 1'!L37="Às vezes",'AV 1'!K37,"-")</f>
        <v>-</v>
      </c>
      <c r="C361" s="69" t="str">
        <f>IF('AV 1'!L37="Não",'AV 1'!K37,"-")</f>
        <v>-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81" t="str">
        <f>IF('AV 1'!L38="Às vezes",'AV 1'!K38,"-")</f>
        <v>-</v>
      </c>
      <c r="C362" s="69" t="str">
        <f>IF('AV 1'!L38="Não",'AV 1'!K38,"-")</f>
        <v>-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81" t="str">
        <f>IF('AV 1'!L39="Às vezes",'AV 1'!K39,"-")</f>
        <v>-</v>
      </c>
      <c r="C363" s="69" t="str">
        <f>IF('AV 1'!L39="Não",'AV 1'!K39,"-")</f>
        <v>-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81" t="str">
        <f>IF('AV 1'!L40="Às vezes",'AV 1'!K40,"-")</f>
        <v>-</v>
      </c>
      <c r="C364" s="69" t="str">
        <f>IF('AV 1'!L40="Não",'AV 1'!K40,"-")</f>
        <v>-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81" t="str">
        <f>IF('AV 1'!L41="Às vezes",'AV 1'!K41,"-")</f>
        <v>-</v>
      </c>
      <c r="C365" s="69" t="str">
        <f>IF('AV 1'!L41="Não",'AV 1'!K41,"-")</f>
        <v>-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81" t="str">
        <f>IF('AV 1'!L42="Às vezes",'AV 1'!K42,"-")</f>
        <v>-</v>
      </c>
      <c r="C366" s="69" t="str">
        <f>IF('AV 1'!L42="Não",'AV 1'!K42,"-")</f>
        <v>-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81" t="str">
        <f>IF('AV 1'!L43="Às vezes",'AV 1'!K43,"-")</f>
        <v>-</v>
      </c>
      <c r="C367" s="69" t="str">
        <f>IF('AV 1'!L43="Não",'AV 1'!K43,"-")</f>
        <v>-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81" t="str">
        <f>IF('AV 1'!L44="Às vezes",'AV 1'!K44,"-")</f>
        <v>-</v>
      </c>
      <c r="C368" s="69" t="str">
        <f>IF('AV 1'!L44="Não",'AV 1'!K44,"-")</f>
        <v>-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81" t="str">
        <f>IF('AV 1'!L45="Às vezes",'AV 1'!K45,"-")</f>
        <v>-</v>
      </c>
      <c r="C369" s="69" t="str">
        <f>IF('AV 1'!L45="Não",'AV 1'!K45,"-")</f>
        <v>-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81" t="str">
        <f>IF('AV 1'!L46="Às vezes",'AV 1'!K46,"-")</f>
        <v>-</v>
      </c>
      <c r="C370" s="69" t="str">
        <f>IF('AV 1'!L46="Não",'AV 1'!K46,"-")</f>
        <v>-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81" t="str">
        <f>IF('AV 1'!L47="Às vezes",'AV 1'!K47,"-")</f>
        <v>-</v>
      </c>
      <c r="C371" s="69" t="str">
        <f>IF('AV 1'!L47="Não",'AV 1'!K47,"-")</f>
        <v>-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81" t="str">
        <f>IF('AV 1'!L48="Às vezes",'AV 1'!K48,"-")</f>
        <v>-</v>
      </c>
      <c r="C372" s="69" t="str">
        <f>IF('AV 1'!L48="Não",'AV 1'!K48,"-")</f>
        <v>-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81" t="str">
        <f>IF('AV 1'!L49="Às vezes",'AV 1'!K49,"-")</f>
        <v>-</v>
      </c>
      <c r="C373" s="69" t="str">
        <f>IF('AV 1'!L49="Não",'AV 1'!K49,"-")</f>
        <v>-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81" t="str">
        <f>IF('AV 1'!L50="Às vezes",'AV 1'!K50,"-")</f>
        <v>-</v>
      </c>
      <c r="C374" s="69" t="str">
        <f>IF('AV 1'!L50="Não",'AV 1'!K50,"-")</f>
        <v>34 Urina ou defeca quando colocado no piniquinho pelo menos 3 vezes por semana.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81" t="str">
        <f>IF('AV 1'!L51="Às vezes",'AV 1'!K51,"-")</f>
        <v>-</v>
      </c>
      <c r="C375" s="69" t="str">
        <f>IF('AV 1'!L51="Não",'AV 1'!K51,"-")</f>
        <v>-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81" t="str">
        <f>IF('AV 1'!L52="Às vezes",'AV 1'!K52,"-")</f>
        <v>-</v>
      </c>
      <c r="C376" s="69" t="str">
        <f>IF('AV 1'!L52="Não",'AV 1'!K52,"-")</f>
        <v>-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81" t="str">
        <f>IF('AV 1'!L53="Às vezes",'AV 1'!K53,"-")</f>
        <v>-</v>
      </c>
      <c r="C377" s="69" t="str">
        <f>IF('AV 1'!L53="Não",'AV 1'!K53,"-")</f>
        <v>-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81" t="str">
        <f>IF('AV 1'!L54="Às vezes",'AV 1'!K54,"-")</f>
        <v>-</v>
      </c>
      <c r="C378" s="69" t="str">
        <f>IF('AV 1'!L54="Não",'AV 1'!K54,"-")</f>
        <v>38 Usa o banheiro para defecar (falha apenas 1x por semana).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81" t="str">
        <f>IF('AV 1'!L55="Às vezes",'AV 1'!K55,"-")</f>
        <v>-</v>
      </c>
      <c r="C379" s="69" t="str">
        <f>IF('AV 1'!L55="Não",'AV 1'!K55,"-")</f>
        <v>-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81" t="str">
        <f>IF('AV 1'!L56="Às vezes",'AV 1'!K56,"-")</f>
        <v>-</v>
      </c>
      <c r="C380" s="69" t="str">
        <f>IF('AV 1'!L56="Não",'AV 1'!K56,"-")</f>
        <v>-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81" t="str">
        <f>IF('AV 1'!L57="Às vezes",'AV 1'!K57,"-")</f>
        <v>-</v>
      </c>
      <c r="C381" s="69" t="str">
        <f>IF('AV 1'!L57="Não",'AV 1'!K57,"-")</f>
        <v>41 Avisa que quer ir ao banheiro durante o dia a tempo.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81" t="str">
        <f>IF('AV 1'!L58="Às vezes",'AV 1'!K58,"-")</f>
        <v>-</v>
      </c>
      <c r="C382" s="69" t="str">
        <f>IF('AV 1'!L58="Não",'AV 1'!K58,"-")</f>
        <v>-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81" t="str">
        <f>IF('AV 1'!L59="Às vezes",'AV 1'!K59,"-")</f>
        <v>-</v>
      </c>
      <c r="C383" s="69" t="str">
        <f>IF('AV 1'!L59="Não",'AV 1'!K59,"-")</f>
        <v>-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81" t="str">
        <f>IF('AV 1'!L60="Às vezes",'AV 1'!K60,"-")</f>
        <v>-</v>
      </c>
      <c r="C384" s="69" t="str">
        <f>IF('AV 1'!L60="Não",'AV 1'!K60,"-")</f>
        <v>-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81" t="str">
        <f>IF('AV 1'!L61="Às vezes",'AV 1'!K61,"-")</f>
        <v>-</v>
      </c>
      <c r="C385" s="69" t="str">
        <f>IF('AV 1'!L61="Não",'AV 1'!K61,"-")</f>
        <v>-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81" t="str">
        <f>IF('AV 1'!L62="Às vezes",'AV 1'!K62,"-")</f>
        <v>-</v>
      </c>
      <c r="C386" s="69" t="str">
        <f>IF('AV 1'!L62="Não",'AV 1'!K62,"-")</f>
        <v>-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81" t="str">
        <f>IF('AV 1'!L63="Às vezes",'AV 1'!K63,"-")</f>
        <v>-</v>
      </c>
      <c r="C387" s="69" t="str">
        <f>IF('AV 1'!L63="Não",'AV 1'!K63,"-")</f>
        <v>-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81" t="str">
        <f>IF('AV 1'!L64="Às vezes",'AV 1'!K64,"-")</f>
        <v>-</v>
      </c>
      <c r="C388" s="69" t="str">
        <f>IF('AV 1'!L64="Não",'AV 1'!K64,"-")</f>
        <v>-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81" t="str">
        <f>IF('AV 1'!L65="Às vezes",'AV 1'!K65,"-")</f>
        <v>-</v>
      </c>
      <c r="C389" s="69" t="str">
        <f>IF('AV 1'!L65="Não",'AV 1'!K65,"-")</f>
        <v>-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81" t="str">
        <f>IF('AV 1'!L66="Às vezes",'AV 1'!K66,"-")</f>
        <v>-</v>
      </c>
      <c r="C390" s="69" t="str">
        <f>IF('AV 1'!L66="Não",'AV 1'!K66,"-")</f>
        <v>50 Coloca meias.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81" t="str">
        <f>IF('AV 1'!L67="Às vezes",'AV 1'!K67,"-")</f>
        <v>-</v>
      </c>
      <c r="C391" s="69" t="str">
        <f>IF('AV 1'!L67="Não",'AV 1'!K67,"-")</f>
        <v>51 Veste casaco, malha ou camisa.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81" t="str">
        <f>IF('AV 1'!L68="Às vezes",'AV 1'!K68,"-")</f>
        <v>-</v>
      </c>
      <c r="C392" s="69" t="str">
        <f>IF('AV 1'!L68="Não",'AV 1'!K68,"-")</f>
        <v>52 Identifica a parte dianteira da roupa.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81" t="str">
        <f>IF('AV 1'!L69="Às vezes",'AV 1'!K69,"-")</f>
        <v>-</v>
      </c>
      <c r="C393" s="69" t="str">
        <f>IF('AV 1'!L69="Não",'AV 1'!K69,"-")</f>
        <v>-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81" t="str">
        <f>IF('AV 1'!L70="Às vezes",'AV 1'!K70,"-")</f>
        <v>-</v>
      </c>
      <c r="C394" s="69" t="str">
        <f>IF('AV 1'!L70="Não",'AV 1'!K70,"-")</f>
        <v>-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81" t="str">
        <f>IF('AV 1'!L71="Às vezes",'AV 1'!K71,"-")</f>
        <v>-</v>
      </c>
      <c r="C395" s="69" t="str">
        <f>IF('AV 1'!L71="Não",'AV 1'!K71,"-")</f>
        <v>-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81" t="str">
        <f>IF('AV 1'!L72="Às vezes",'AV 1'!K72,"-")</f>
        <v>-</v>
      </c>
      <c r="C396" s="69" t="str">
        <f>IF('AV 1'!L72="Não",'AV 1'!K72,"-")</f>
        <v>-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81" t="str">
        <f>IF('AV 1'!L73="Às vezes",'AV 1'!K73,"-")</f>
        <v>-</v>
      </c>
      <c r="C397" s="69" t="str">
        <f>IF('AV 1'!L73="Não",'AV 1'!K73,"-")</f>
        <v>-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81" t="str">
        <f>IF('AV 1'!L74="Às vezes",'AV 1'!K74,"-")</f>
        <v>-</v>
      </c>
      <c r="C398" s="69" t="str">
        <f>IF('AV 1'!L74="Não",'AV 1'!K74,"-")</f>
        <v>-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81" t="str">
        <f>IF('AV 1'!L75="Às vezes",'AV 1'!K75,"-")</f>
        <v>-</v>
      </c>
      <c r="C399" s="69" t="str">
        <f>IF('AV 1'!L75="Não",'AV 1'!K75,"-")</f>
        <v>-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81" t="str">
        <f>IF('AV 1'!L76="Às vezes",'AV 1'!K76,"-")</f>
        <v>-</v>
      </c>
      <c r="C400" s="69" t="str">
        <f>IF('AV 1'!L76="Não",'AV 1'!K76,"-")</f>
        <v>-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81" t="str">
        <f>IF('AV 1'!L77="Às vezes",'AV 1'!K77,"-")</f>
        <v>-</v>
      </c>
      <c r="C401" s="69" t="str">
        <f>IF('AV 1'!L77="Não",'AV 1'!K77,"-")</f>
        <v>-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81" t="str">
        <f>IF('AV 1'!L78="Às vezes",'AV 1'!K78,"-")</f>
        <v>-</v>
      </c>
      <c r="C402" s="69" t="str">
        <f>IF('AV 1'!L78="Não",'AV 1'!K78,"-")</f>
        <v>-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81" t="str">
        <f>IF('AV 1'!L79="Às vezes",'AV 1'!K79,"-")</f>
        <v>-</v>
      </c>
      <c r="C403" s="69" t="str">
        <f>IF('AV 1'!L79="Não",'AV 1'!K79,"-")</f>
        <v>-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81" t="str">
        <f>IF('AV 1'!L80="Às vezes",'AV 1'!K80,"-")</f>
        <v>-</v>
      </c>
      <c r="C404" s="69" t="str">
        <f>IF('AV 1'!L80="Não",'AV 1'!K80,"-")</f>
        <v>-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81" t="str">
        <f>IF('AV 1'!L81="Às vezes",'AV 1'!K81,"-")</f>
        <v>-</v>
      </c>
      <c r="C405" s="69" t="str">
        <f>IF('AV 1'!L81="Não",'AV 1'!K81,"-")</f>
        <v>-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81" t="str">
        <f>IF('AV 1'!L82="Às vezes",'AV 1'!K82,"-")</f>
        <v>-</v>
      </c>
      <c r="C406" s="69" t="str">
        <f>IF('AV 1'!L82="Não",'AV 1'!K82,"-")</f>
        <v>-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81" t="str">
        <f>IF('AV 1'!L83="Às vezes",'AV 1'!K83,"-")</f>
        <v>-</v>
      </c>
      <c r="C407" s="69" t="str">
        <f>IF('AV 1'!L83="Não",'AV 1'!K83,"-")</f>
        <v>-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81" t="str">
        <f>IF('AV 1'!L84="Às vezes",'AV 1'!K84,"-")</f>
        <v>-</v>
      </c>
      <c r="C408" s="69" t="str">
        <f>IF('AV 1'!L84="Não",'AV 1'!K84,"-")</f>
        <v>-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81" t="str">
        <f>IF('AV 1'!L85="Às vezes",'AV 1'!K85,"-")</f>
        <v>-</v>
      </c>
      <c r="C409" s="69" t="str">
        <f>IF('AV 1'!L85="Não",'AV 1'!K85,"-")</f>
        <v>-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81" t="str">
        <f>IF('AV 1'!L86="Às vezes",'AV 1'!K86,"-")</f>
        <v>-</v>
      </c>
      <c r="C410" s="69" t="str">
        <f>IF('AV 1'!L86="Não",'AV 1'!K86,"-")</f>
        <v>-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81" t="str">
        <f>IF('AV 1'!L87="Às vezes",'AV 1'!K87,"-")</f>
        <v>-</v>
      </c>
      <c r="C411" s="69" t="str">
        <f>IF('AV 1'!L87="Não",'AV 1'!K87,"-")</f>
        <v>-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81" t="str">
        <f>IF('AV 1'!L88="Às vezes",'AV 1'!K88,"-")</f>
        <v>-</v>
      </c>
      <c r="C412" s="69" t="str">
        <f>IF('AV 1'!L88="Não",'AV 1'!K88,"-")</f>
        <v>-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81" t="str">
        <f>IF('AV 1'!L89="Às vezes",'AV 1'!K89,"-")</f>
        <v>-</v>
      </c>
      <c r="C413" s="69" t="str">
        <f>IF('AV 1'!L89="Não",'AV 1'!K89,"-")</f>
        <v>-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81" t="str">
        <f>IF('AV 1'!L90="Às vezes",'AV 1'!K90,"-")</f>
        <v>-</v>
      </c>
      <c r="C414" s="69" t="str">
        <f>IF('AV 1'!L90="Não",'AV 1'!K90,"-")</f>
        <v>-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81" t="str">
        <f>IF('AV 1'!L91="Às vezes",'AV 1'!K91,"-")</f>
        <v>-</v>
      </c>
      <c r="C415" s="69" t="str">
        <f>IF('AV 1'!L91="Não",'AV 1'!K91,"-")</f>
        <v>-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81" t="str">
        <f>IF('AV 1'!L92="Às vezes",'AV 1'!K92,"-")</f>
        <v>-</v>
      </c>
      <c r="C416" s="69" t="str">
        <f>IF('AV 1'!L92="Não",'AV 1'!K92,"-")</f>
        <v>-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81" t="str">
        <f>IF('AV 1'!L93="Às vezes",'AV 1'!K93,"-")</f>
        <v>-</v>
      </c>
      <c r="C417" s="69" t="str">
        <f>IF('AV 1'!L93="Não",'AV 1'!K93,"-")</f>
        <v>-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81" t="str">
        <f>IF('AV 1'!L94="Às vezes",'AV 1'!K94,"-")</f>
        <v>-</v>
      </c>
      <c r="C418" s="69" t="str">
        <f>IF('AV 1'!L94="Não",'AV 1'!K94,"-")</f>
        <v>-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81" t="str">
        <f>IF('AV 1'!L95="Às vezes",'AV 1'!K95,"-")</f>
        <v>-</v>
      </c>
      <c r="C419" s="69" t="str">
        <f>IF('AV 1'!L95="Não",'AV 1'!K95,"-")</f>
        <v>-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81" t="str">
        <f>IF('AV 1'!L96="Às vezes",'AV 1'!K96,"-")</f>
        <v>-</v>
      </c>
      <c r="C420" s="69" t="str">
        <f>IF('AV 1'!L96="Não",'AV 1'!K96,"-")</f>
        <v>-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81" t="str">
        <f>IF('AV 1'!L97="Às vezes",'AV 1'!K97,"-")</f>
        <v>-</v>
      </c>
      <c r="C421" s="69" t="str">
        <f>IF('AV 1'!L97="Não",'AV 1'!K97,"-")</f>
        <v>-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81" t="str">
        <f>IF('AV 1'!L98="Às vezes",'AV 1'!K98,"-")</f>
        <v>-</v>
      </c>
      <c r="C422" s="69" t="str">
        <f>IF('AV 1'!L98="Não",'AV 1'!K98,"-")</f>
        <v>-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81" t="str">
        <f>IF('AV 1'!L99="Às vezes",'AV 1'!K99,"-")</f>
        <v>-</v>
      </c>
      <c r="C423" s="69" t="str">
        <f>IF('AV 1'!L99="Não",'AV 1'!K99,"-")</f>
        <v>-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81" t="str">
        <f>IF('AV 1'!L100="Às vezes",'AV 1'!K100,"-")</f>
        <v>-</v>
      </c>
      <c r="C424" s="69" t="str">
        <f>IF('AV 1'!L100="Não",'AV 1'!K100,"-")</f>
        <v>-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81" t="str">
        <f>IF('AV 1'!L101="Às vezes",'AV 1'!K101,"-")</f>
        <v>-</v>
      </c>
      <c r="C425" s="69" t="str">
        <f>IF('AV 1'!L101="Não",'AV 1'!K101,"-")</f>
        <v>-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81" t="str">
        <f>IF('AV 1'!L102="Às vezes",'AV 1'!K102,"-")</f>
        <v>-</v>
      </c>
      <c r="C426" s="69" t="str">
        <f>IF('AV 1'!L102="Não",'AV 1'!K102,"-")</f>
        <v>-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81" t="str">
        <f>IF('AV 1'!L103="Às vezes",'AV 1'!K103,"-")</f>
        <v>-</v>
      </c>
      <c r="C427" s="69" t="str">
        <f>IF('AV 1'!L103="Não",'AV 1'!K103,"-")</f>
        <v>-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81" t="str">
        <f>IF('AV 1'!L104="Às vezes",'AV 1'!K104,"-")</f>
        <v>-</v>
      </c>
      <c r="C428" s="69" t="str">
        <f>IF('AV 1'!L104="Não",'AV 1'!K104,"-")</f>
        <v>-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81" t="str">
        <f>IF('AV 1'!L105="Às vezes",'AV 1'!K105,"-")</f>
        <v>-</v>
      </c>
      <c r="C429" s="69" t="str">
        <f>IF('AV 1'!L105="Não",'AV 1'!K105,"-")</f>
        <v>-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81" t="str">
        <f>IF('AV 1'!L106="Às vezes",'AV 1'!K106,"-")</f>
        <v>-</v>
      </c>
      <c r="C430" s="69" t="str">
        <f>IF('AV 1'!L106="Não",'AV 1'!K106,"-")</f>
        <v>-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81" t="str">
        <f>IF('AV 1'!L107="Às vezes",'AV 1'!K107,"-")</f>
        <v>-</v>
      </c>
      <c r="C431" s="69" t="str">
        <f>IF('AV 1'!L107="Não",'AV 1'!K107,"-")</f>
        <v>-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81" t="str">
        <f>IF('AV 1'!L108="Às vezes",'AV 1'!K108,"-")</f>
        <v>-</v>
      </c>
      <c r="C432" s="69" t="str">
        <f>IF('AV 1'!L108="Não",'AV 1'!K108,"-")</f>
        <v>-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81" t="str">
        <f>IF('AV 1'!L109="Às vezes",'AV 1'!K109,"-")</f>
        <v>-</v>
      </c>
      <c r="C433" s="69" t="str">
        <f>IF('AV 1'!L109="Não",'AV 1'!K109,"-")</f>
        <v>-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81" t="str">
        <f>IF('AV 1'!L110="Às vezes",'AV 1'!K110,"-")</f>
        <v>-</v>
      </c>
      <c r="C434" s="69" t="str">
        <f>IF('AV 1'!L110="Não",'AV 1'!K110,"-")</f>
        <v>-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81" t="str">
        <f>IF('AV 1'!L111="Às vezes",'AV 1'!K111,"-")</f>
        <v>-</v>
      </c>
      <c r="C435" s="69" t="str">
        <f>IF('AV 1'!L111="Não",'AV 1'!K111,"-")</f>
        <v>-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81" t="str">
        <f>IF('AV 1'!L112="Às vezes",'AV 1'!K112,"-")</f>
        <v>-</v>
      </c>
      <c r="C436" s="69" t="str">
        <f>IF('AV 1'!L112="Não",'AV 1'!K112,"-")</f>
        <v>-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81" t="str">
        <f>IF('AV 1'!L113="Às vezes",'AV 1'!K113,"-")</f>
        <v>-</v>
      </c>
      <c r="C437" s="69" t="str">
        <f>IF('AV 1'!L113="Não",'AV 1'!K113,"-")</f>
        <v>-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81" t="str">
        <f>IF('AV 1'!L114="Às vezes",'AV 1'!K114,"-")</f>
        <v>-</v>
      </c>
      <c r="C438" s="69" t="str">
        <f>IF('AV 1'!L114="Não",'AV 1'!K114,"-")</f>
        <v>-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81" t="str">
        <f>IF('AV 1'!L115="Às vezes",'AV 1'!K115,"-")</f>
        <v>-</v>
      </c>
      <c r="C439" s="69" t="str">
        <f>IF('AV 1'!L115="Não",'AV 1'!K115,"-")</f>
        <v>-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81" t="str">
        <f>IF('AV 1'!L116="Às vezes",'AV 1'!K116,"-")</f>
        <v>-</v>
      </c>
      <c r="C440" s="69" t="str">
        <f>IF('AV 1'!L116="Não",'AV 1'!K116,"-")</f>
        <v>-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81" t="str">
        <f>IF('AV 1'!L117="Às vezes",'AV 1'!K117,"-")</f>
        <v>-</v>
      </c>
      <c r="C441" s="69" t="str">
        <f>IF('AV 1'!L117="Não",'AV 1'!K117,"-")</f>
        <v>-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81" t="str">
        <f>IF('AV 1'!L118="Às vezes",'AV 1'!K118,"-")</f>
        <v>-</v>
      </c>
      <c r="C442" s="69" t="str">
        <f>IF('AV 1'!L118="Não",'AV 1'!K118,"-")</f>
        <v>-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81" t="str">
        <f>IF('AV 1'!L119="Às vezes",'AV 1'!K119,"-")</f>
        <v>-</v>
      </c>
      <c r="C443" s="69" t="str">
        <f>IF('AV 1'!L119="Não",'AV 1'!K119,"-")</f>
        <v>-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81" t="str">
        <f>IF('AV 1'!L120="Às vezes",'AV 1'!K120,"-")</f>
        <v>-</v>
      </c>
      <c r="C444" s="69" t="str">
        <f>IF('AV 1'!L120="Não",'AV 1'!K120,"-")</f>
        <v>-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81" t="str">
        <f>IF('AV 1'!L121="Às vezes",'AV 1'!K121,"-")</f>
        <v>-</v>
      </c>
      <c r="C445" s="69" t="str">
        <f>IF('AV 1'!L121="Não",'AV 1'!K121,"-")</f>
        <v>-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81" t="str">
        <f>IF('AV 1'!L122="Às vezes",'AV 1'!K122,"-")</f>
        <v>-</v>
      </c>
      <c r="C446" s="69" t="str">
        <f>IF('AV 1'!L122="Não",'AV 1'!K122,"-")</f>
        <v>-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81" t="str">
        <f>IF('AV 1'!L123="Às vezes",'AV 1'!K123,"-")</f>
        <v>-</v>
      </c>
      <c r="C447" s="69" t="str">
        <f>IF('AV 1'!L123="Não",'AV 1'!K123,"-")</f>
        <v>-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81" t="str">
        <f>IF('AV 1'!L124="Às vezes",'AV 1'!K124,"-")</f>
        <v>-</v>
      </c>
      <c r="C448" s="69" t="str">
        <f>IF('AV 1'!L124="Não",'AV 1'!K124,"-")</f>
        <v>-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81" t="str">
        <f>IF('AV 1'!L125="Às vezes",'AV 1'!K125,"-")</f>
        <v>-</v>
      </c>
      <c r="C449" s="69" t="str">
        <f>IF('AV 1'!L125="Não",'AV 1'!K125,"-")</f>
        <v>-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81" t="str">
        <f>IF('AV 1'!L126="Às vezes",'AV 1'!K126,"-")</f>
        <v>-</v>
      </c>
      <c r="C450" s="69" t="str">
        <f>IF('AV 1'!L126="Não",'AV 1'!K126,"-")</f>
        <v>-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81" t="str">
        <f>IF('AV 1'!L127="Às vezes",'AV 1'!K127,"-")</f>
        <v>-</v>
      </c>
      <c r="C451" s="69" t="str">
        <f>IF('AV 1'!L127="Não",'AV 1'!K127,"-")</f>
        <v>-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79" t="s">
        <v>13</v>
      </c>
      <c r="C452" s="79" t="s">
        <v>13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80" t="str">
        <f>IF('AV 1'!O13="Às vezes",'AV 1'!N13,"-")</f>
        <v>-</v>
      </c>
      <c r="C453" s="69" t="str">
        <f>IF('AV 1'!O13="Não",'AV 1'!N13,"-")</f>
        <v>-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81" t="str">
        <f>IF('AV 1'!O14="Às vezes",'AV 1'!N14,"-")</f>
        <v>-</v>
      </c>
      <c r="C454" s="69" t="str">
        <f>IF('AV 1'!O14="Não",'AV 1'!N14,"-")</f>
        <v>-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81" t="str">
        <f>IF('AV 1'!O15="Às vezes",'AV 1'!N15,"-")</f>
        <v>-</v>
      </c>
      <c r="C455" s="69" t="str">
        <f>IF('AV 1'!O15="Não",'AV 1'!N15,"-")</f>
        <v>-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81" t="str">
        <f>IF('AV 1'!O16="Às vezes",'AV 1'!N16,"-")</f>
        <v>-</v>
      </c>
      <c r="C456" s="69" t="str">
        <f>IF('AV 1'!O16="Não",'AV 1'!N16,"-")</f>
        <v>-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81" t="str">
        <f>IF('AV 1'!O17="Às vezes",'AV 1'!N17,"-")</f>
        <v>-</v>
      </c>
      <c r="C457" s="69" t="str">
        <f>IF('AV 1'!O17="Não",'AV 1'!N17,"-")</f>
        <v>-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81" t="str">
        <f>IF('AV 1'!O18="Às vezes",'AV 1'!N18,"-")</f>
        <v>-</v>
      </c>
      <c r="C458" s="69" t="str">
        <f>IF('AV 1'!O18="Não",'AV 1'!N18,"-")</f>
        <v>-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81" t="str">
        <f>IF('AV 1'!O19="Às vezes",'AV 1'!N19,"-")</f>
        <v>-</v>
      </c>
      <c r="C459" s="69" t="str">
        <f>IF('AV 1'!O19="Não",'AV 1'!N19,"-")</f>
        <v>-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81" t="str">
        <f>IF('AV 1'!O20="Às vezes",'AV 1'!N20,"-")</f>
        <v>-</v>
      </c>
      <c r="C460" s="69" t="str">
        <f>IF('AV 1'!O20="Não",'AV 1'!N20,"-")</f>
        <v>-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81" t="str">
        <f>IF('AV 1'!O21="Às vezes",'AV 1'!N21,"-")</f>
        <v>-</v>
      </c>
      <c r="C461" s="69" t="str">
        <f>IF('AV 1'!O21="Não",'AV 1'!N21,"-")</f>
        <v>-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81" t="str">
        <f>IF('AV 1'!O22="Às vezes",'AV 1'!N22,"-")</f>
        <v>-</v>
      </c>
      <c r="C462" s="69" t="str">
        <f>IF('AV 1'!O22="Não",'AV 1'!N22,"-")</f>
        <v>-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81" t="str">
        <f>IF('AV 1'!O23="Às vezes",'AV 1'!N23,"-")</f>
        <v>-</v>
      </c>
      <c r="C463" s="69" t="str">
        <f>IF('AV 1'!O23="Não",'AV 1'!N23,"-")</f>
        <v>-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6.25" customHeight="1">
      <c r="A464" s="1"/>
      <c r="B464" s="81" t="str">
        <f>IF('AV 1'!O24="Às vezes",'AV 1'!N24,"-")</f>
        <v>-</v>
      </c>
      <c r="C464" s="69" t="str">
        <f>IF('AV 1'!O24="Não",'AV 1'!N24,"-")</f>
        <v>-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81" t="str">
        <f>IF('AV 1'!O25="Às vezes",'AV 1'!N25,"-")</f>
        <v>-</v>
      </c>
      <c r="C465" s="69" t="str">
        <f>IF('AV 1'!O25="Não",'AV 1'!N25,"-")</f>
        <v>-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81" t="str">
        <f>IF('AV 1'!O26="Às vezes",'AV 1'!N26,"-")</f>
        <v>-</v>
      </c>
      <c r="C466" s="69" t="str">
        <f>IF('AV 1'!O26="Não",'AV 1'!N26,"-")</f>
        <v>-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81" t="str">
        <f>IF('AV 1'!O27="Às vezes",'AV 1'!N27,"-")</f>
        <v>-</v>
      </c>
      <c r="C467" s="69" t="str">
        <f>IF('AV 1'!O27="Não",'AV 1'!N27,"-")</f>
        <v>-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81" t="str">
        <f>IF('AV 1'!O28="Às vezes",'AV 1'!N28,"-")</f>
        <v>-</v>
      </c>
      <c r="C468" s="69" t="str">
        <f>IF('AV 1'!O28="Não",'AV 1'!N28,"-")</f>
        <v>-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81" t="str">
        <f>IF('AV 1'!O29="Às vezes",'AV 1'!N29,"-")</f>
        <v>-</v>
      </c>
      <c r="C469" s="69" t="str">
        <f>IF('AV 1'!O29="Não",'AV 1'!N29,"-")</f>
        <v>-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81" t="str">
        <f>IF('AV 1'!O30="Às vezes",'AV 1'!N30,"-")</f>
        <v>-</v>
      </c>
      <c r="C470" s="69" t="str">
        <f>IF('AV 1'!O30="Não",'AV 1'!N30,"-")</f>
        <v>-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81" t="str">
        <f>IF('AV 1'!O31="Às vezes",'AV 1'!N31,"-")</f>
        <v>-</v>
      </c>
      <c r="C471" s="69" t="str">
        <f>IF('AV 1'!O31="Não",'AV 1'!N31,"-")</f>
        <v>-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81" t="str">
        <f>IF('AV 1'!O32="Às vezes",'AV 1'!N32,"-")</f>
        <v>-</v>
      </c>
      <c r="C472" s="69" t="str">
        <f>IF('AV 1'!O32="Não",'AV 1'!N32,"-")</f>
        <v>-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81" t="str">
        <f>IF('AV 1'!O33="Às vezes",'AV 1'!N33,"-")</f>
        <v>-</v>
      </c>
      <c r="C473" s="69" t="str">
        <f>IF('AV 1'!O33="Não",'AV 1'!N33,"-")</f>
        <v>-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81" t="str">
        <f>IF('AV 1'!O34="Às vezes",'AV 1'!N34,"-")</f>
        <v>-</v>
      </c>
      <c r="C474" s="69" t="str">
        <f>IF('AV 1'!O34="Não",'AV 1'!N34,"-")</f>
        <v>-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81" t="str">
        <f>IF('AV 1'!O35="Às vezes",'AV 1'!N35,"-")</f>
        <v>-</v>
      </c>
      <c r="C475" s="69" t="str">
        <f>IF('AV 1'!O35="Não",'AV 1'!N35,"-")</f>
        <v>-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81" t="str">
        <f>IF('AV 1'!O36="Às vezes",'AV 1'!N36,"-")</f>
        <v>-</v>
      </c>
      <c r="C476" s="69" t="str">
        <f>IF('AV 1'!O36="Não",'AV 1'!N36,"-")</f>
        <v>-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81" t="str">
        <f>IF('AV 1'!O37="Às vezes",'AV 1'!N37,"-")</f>
        <v>-</v>
      </c>
      <c r="C477" s="69" t="str">
        <f>IF('AV 1'!O37="Não",'AV 1'!N37,"-")</f>
        <v>-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81" t="str">
        <f>IF('AV 1'!O38="Às vezes",'AV 1'!N38,"-")</f>
        <v>-</v>
      </c>
      <c r="C478" s="69" t="str">
        <f>IF('AV 1'!O38="Não",'AV 1'!N38,"-")</f>
        <v>-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81" t="str">
        <f>IF('AV 1'!O39="Às vezes",'AV 1'!N39,"-")</f>
        <v>-</v>
      </c>
      <c r="C479" s="69" t="str">
        <f>IF('AV 1'!O39="Não",'AV 1'!N39,"-")</f>
        <v>-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81" t="str">
        <f>IF('AV 1'!O40="Às vezes",'AV 1'!N40,"-")</f>
        <v>-</v>
      </c>
      <c r="C480" s="69" t="str">
        <f>IF('AV 1'!O40="Não",'AV 1'!N40,"-")</f>
        <v>-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81" t="str">
        <f>IF('AV 1'!O41="Às vezes",'AV 1'!N41,"-")</f>
        <v>-</v>
      </c>
      <c r="C481" s="69" t="str">
        <f>IF('AV 1'!O41="Não",'AV 1'!N41,"-")</f>
        <v>-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81" t="str">
        <f>IF('AV 1'!O42="Às vezes",'AV 1'!N42,"-")</f>
        <v>-</v>
      </c>
      <c r="C482" s="69" t="str">
        <f>IF('AV 1'!O42="Não",'AV 1'!N42,"-")</f>
        <v>-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81" t="str">
        <f>IF('AV 1'!O43="Às vezes",'AV 1'!N43,"-")</f>
        <v>-</v>
      </c>
      <c r="C483" s="69" t="str">
        <f>IF('AV 1'!O43="Não",'AV 1'!N43,"-")</f>
        <v>-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81" t="str">
        <f>IF('AV 1'!O44="Às vezes",'AV 1'!N44,"-")</f>
        <v>-</v>
      </c>
      <c r="C484" s="69" t="str">
        <f>IF('AV 1'!O44="Não",'AV 1'!N44,"-")</f>
        <v>-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81" t="str">
        <f>IF('AV 1'!O45="Às vezes",'AV 1'!N45,"-")</f>
        <v>-</v>
      </c>
      <c r="C485" s="69" t="str">
        <f>IF('AV 1'!O45="Não",'AV 1'!N45,"-")</f>
        <v>-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81" t="str">
        <f>IF('AV 1'!O46="Às vezes",'AV 1'!N46,"-")</f>
        <v>-</v>
      </c>
      <c r="C486" s="69" t="str">
        <f>IF('AV 1'!O46="Não",'AV 1'!N46,"-")</f>
        <v>-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81" t="str">
        <f>IF('AV 1'!O47="Às vezes",'AV 1'!N47,"-")</f>
        <v>-</v>
      </c>
      <c r="C487" s="69" t="str">
        <f>IF('AV 1'!O47="Não",'AV 1'!N47,"-")</f>
        <v>-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81" t="str">
        <f>IF('AV 1'!O48="Às vezes",'AV 1'!N48,"-")</f>
        <v>-</v>
      </c>
      <c r="C488" s="69" t="str">
        <f>IF('AV 1'!O48="Não",'AV 1'!N48,"-")</f>
        <v>-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81" t="str">
        <f>IF('AV 1'!O49="Às vezes",'AV 1'!N49,"-")</f>
        <v>-</v>
      </c>
      <c r="C489" s="69" t="str">
        <f>IF('AV 1'!O49="Não",'AV 1'!N49,"-")</f>
        <v>-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81" t="str">
        <f>IF('AV 1'!O50="Às vezes",'AV 1'!N50,"-")</f>
        <v>-</v>
      </c>
      <c r="C490" s="69" t="str">
        <f>IF('AV 1'!O50="Não",'AV 1'!N50,"-")</f>
        <v>-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81" t="str">
        <f>IF('AV 1'!O51="Às vezes",'AV 1'!N51,"-")</f>
        <v>-</v>
      </c>
      <c r="C491" s="69" t="str">
        <f>IF('AV 1'!O51="Não",'AV 1'!N51,"-")</f>
        <v>-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81" t="str">
        <f>IF('AV 1'!O52="Às vezes",'AV 1'!N52,"-")</f>
        <v>-</v>
      </c>
      <c r="C492" s="69" t="str">
        <f>IF('AV 1'!O52="Não",'AV 1'!N52,"-")</f>
        <v>-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81" t="str">
        <f>IF('AV 1'!O53="Às vezes",'AV 1'!N53,"-")</f>
        <v>-</v>
      </c>
      <c r="C493" s="69" t="str">
        <f>IF('AV 1'!O53="Não",'AV 1'!N53,"-")</f>
        <v>-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81" t="str">
        <f>IF('AV 1'!O54="Às vezes",'AV 1'!N54,"-")</f>
        <v>-</v>
      </c>
      <c r="C494" s="69" t="str">
        <f>IF('AV 1'!O54="Não",'AV 1'!N54,"-")</f>
        <v>-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81" t="str">
        <f>IF('AV 1'!O55="Às vezes",'AV 1'!N55,"-")</f>
        <v>-</v>
      </c>
      <c r="C495" s="69" t="str">
        <f>IF('AV 1'!O55="Não",'AV 1'!N55,"-")</f>
        <v>-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81" t="str">
        <f>IF('AV 1'!O56="Às vezes",'AV 1'!N56,"-")</f>
        <v>-</v>
      </c>
      <c r="C496" s="69" t="str">
        <f>IF('AV 1'!O56="Não",'AV 1'!N56,"-")</f>
        <v>-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81" t="str">
        <f>IF('AV 1'!O57="Às vezes",'AV 1'!N57,"-")</f>
        <v>-</v>
      </c>
      <c r="C497" s="69" t="str">
        <f>IF('AV 1'!O57="Não",'AV 1'!N57,"-")</f>
        <v>-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81" t="str">
        <f>IF('AV 1'!O58="Às vezes",'AV 1'!N58,"-")</f>
        <v>-</v>
      </c>
      <c r="C498" s="69" t="str">
        <f>IF('AV 1'!O58="Não",'AV 1'!N58,"-")</f>
        <v>-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81" t="str">
        <f>IF('AV 1'!O59="Às vezes",'AV 1'!N59,"-")</f>
        <v>-</v>
      </c>
      <c r="C499" s="69" t="str">
        <f>IF('AV 1'!O59="Não",'AV 1'!N59,"-")</f>
        <v>-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81" t="str">
        <f>IF('AV 1'!O60="Às vezes",'AV 1'!N60,"-")</f>
        <v>-</v>
      </c>
      <c r="C500" s="69" t="str">
        <f>IF('AV 1'!O60="Não",'AV 1'!N60,"-")</f>
        <v>-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81" t="str">
        <f>IF('AV 1'!O61="Às vezes",'AV 1'!N61,"-")</f>
        <v>-</v>
      </c>
      <c r="C501" s="69" t="str">
        <f>IF('AV 1'!O61="Não",'AV 1'!N61,"-")</f>
        <v>-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81" t="str">
        <f>IF('AV 1'!O62="Às vezes",'AV 1'!N62,"-")</f>
        <v>-</v>
      </c>
      <c r="C502" s="69" t="str">
        <f>IF('AV 1'!O62="Não",'AV 1'!N62,"-")</f>
        <v>-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81" t="str">
        <f>IF('AV 1'!O63="Às vezes",'AV 1'!N63,"-")</f>
        <v>-</v>
      </c>
      <c r="C503" s="69" t="str">
        <f>IF('AV 1'!O63="Não",'AV 1'!N63,"-")</f>
        <v>-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81" t="str">
        <f>IF('AV 1'!O64="Às vezes",'AV 1'!N64,"-")</f>
        <v>-</v>
      </c>
      <c r="C504" s="69" t="str">
        <f>IF('AV 1'!O64="Não",'AV 1'!N64,"-")</f>
        <v>-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81" t="str">
        <f>IF('AV 1'!O65="Às vezes",'AV 1'!N65,"-")</f>
        <v>-</v>
      </c>
      <c r="C505" s="69" t="str">
        <f>IF('AV 1'!O65="Não",'AV 1'!N65,"-")</f>
        <v>-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81" t="str">
        <f>IF('AV 1'!O66="Às vezes",'AV 1'!N66,"-")</f>
        <v>-</v>
      </c>
      <c r="C506" s="69" t="str">
        <f>IF('AV 1'!O66="Não",'AV 1'!N66,"-")</f>
        <v>-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81" t="str">
        <f>IF('AV 1'!O67="Às vezes",'AV 1'!N67,"-")</f>
        <v>-</v>
      </c>
      <c r="C507" s="69" t="str">
        <f>IF('AV 1'!O67="Não",'AV 1'!N67,"-")</f>
        <v>-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81" t="str">
        <f>IF('AV 1'!O68="Às vezes",'AV 1'!N68,"-")</f>
        <v>-</v>
      </c>
      <c r="C508" s="69" t="str">
        <f>IF('AV 1'!O68="Não",'AV 1'!N68,"-")</f>
        <v>-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81" t="str">
        <f>IF('AV 1'!O69="Às vezes",'AV 1'!N69,"-")</f>
        <v>-</v>
      </c>
      <c r="C509" s="69" t="str">
        <f>IF('AV 1'!O69="Não",'AV 1'!N69,"-")</f>
        <v>-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81" t="str">
        <f>IF('AV 1'!O70="Às vezes",'AV 1'!N70,"-")</f>
        <v>-</v>
      </c>
      <c r="C510" s="69" t="str">
        <f>IF('AV 1'!O70="Não",'AV 1'!N70,"-")</f>
        <v>-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81" t="str">
        <f>IF('AV 1'!O71="Às vezes",'AV 1'!N71,"-")</f>
        <v>-</v>
      </c>
      <c r="C511" s="69" t="str">
        <f>IF('AV 1'!O71="Não",'AV 1'!N71,"-")</f>
        <v>-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81" t="str">
        <f>IF('AV 1'!O72="Às vezes",'AV 1'!N72,"-")</f>
        <v>-</v>
      </c>
      <c r="C512" s="69" t="str">
        <f>IF('AV 1'!O72="Não",'AV 1'!N72,"-")</f>
        <v>-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81" t="str">
        <f>IF('AV 1'!O73="Às vezes",'AV 1'!N73,"-")</f>
        <v>-</v>
      </c>
      <c r="C513" s="69" t="str">
        <f>IF('AV 1'!O73="Não",'AV 1'!N73,"-")</f>
        <v>-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81" t="str">
        <f>IF('AV 1'!O74="Às vezes",'AV 1'!N74,"-")</f>
        <v>-</v>
      </c>
      <c r="C514" s="69" t="str">
        <f>IF('AV 1'!O74="Não",'AV 1'!N74,"-")</f>
        <v>-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81" t="str">
        <f>IF('AV 1'!O75="Às vezes",'AV 1'!N75,"-")</f>
        <v>-</v>
      </c>
      <c r="C515" s="69" t="str">
        <f>IF('AV 1'!O75="Não",'AV 1'!N75,"-")</f>
        <v>-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81" t="str">
        <f>IF('AV 1'!O76="Às vezes",'AV 1'!N76,"-")</f>
        <v>-</v>
      </c>
      <c r="C516" s="69" t="str">
        <f>IF('AV 1'!O76="Não",'AV 1'!N76,"-")</f>
        <v>-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81" t="str">
        <f>IF('AV 1'!O77="Às vezes",'AV 1'!N77,"-")</f>
        <v>-</v>
      </c>
      <c r="C517" s="69" t="str">
        <f>IF('AV 1'!O77="Não",'AV 1'!N77,"-")</f>
        <v>-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81" t="str">
        <f>IF('AV 1'!O78="Às vezes",'AV 1'!N78,"-")</f>
        <v>-</v>
      </c>
      <c r="C518" s="69" t="str">
        <f>IF('AV 1'!O78="Não",'AV 1'!N78,"-")</f>
        <v>-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81" t="str">
        <f>IF('AV 1'!O79="Às vezes",'AV 1'!N79,"-")</f>
        <v>-</v>
      </c>
      <c r="C519" s="69" t="str">
        <f>IF('AV 1'!O79="Não",'AV 1'!N79,"-")</f>
        <v>-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81" t="str">
        <f>IF('AV 1'!O80="Às vezes",'AV 1'!N80,"-")</f>
        <v>-</v>
      </c>
      <c r="C520" s="69" t="str">
        <f>IF('AV 1'!O80="Não",'AV 1'!N80,"-")</f>
        <v>-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81" t="str">
        <f>IF('AV 1'!O81="Às vezes",'AV 1'!N81,"-")</f>
        <v>-</v>
      </c>
      <c r="C521" s="69" t="str">
        <f>IF('AV 1'!O81="Não",'AV 1'!N81,"-")</f>
        <v>-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81" t="str">
        <f>IF('AV 1'!O82="Às vezes",'AV 1'!N82,"-")</f>
        <v>-</v>
      </c>
      <c r="C522" s="69" t="str">
        <f>IF('AV 1'!O82="Não",'AV 1'!N82,"-")</f>
        <v>-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81" t="str">
        <f>IF('AV 1'!O83="Às vezes",'AV 1'!N83,"-")</f>
        <v>-</v>
      </c>
      <c r="C523" s="69" t="str">
        <f>IF('AV 1'!O83="Não",'AV 1'!N83,"-")</f>
        <v>-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81" t="str">
        <f>IF('AV 1'!O84="Às vezes",'AV 1'!N84,"-")</f>
        <v>-</v>
      </c>
      <c r="C524" s="69" t="str">
        <f>IF('AV 1'!O84="Não",'AV 1'!N84,"-")</f>
        <v>-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81" t="str">
        <f>IF('AV 1'!O85="Às vezes",'AV 1'!N85,"-")</f>
        <v>-</v>
      </c>
      <c r="C525" s="69" t="str">
        <f>IF('AV 1'!O85="Não",'AV 1'!N85,"-")</f>
        <v>-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81" t="str">
        <f>IF('AV 1'!O86="Às vezes",'AV 1'!N86,"-")</f>
        <v>-</v>
      </c>
      <c r="C526" s="69" t="str">
        <f>IF('AV 1'!O86="Não",'AV 1'!N86,"-")</f>
        <v>-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81" t="str">
        <f>IF('AV 1'!O87="Às vezes",'AV 1'!N87,"-")</f>
        <v>-</v>
      </c>
      <c r="C527" s="69" t="str">
        <f>IF('AV 1'!O87="Não",'AV 1'!N87,"-")</f>
        <v>-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81" t="str">
        <f>IF('AV 1'!O88="Às vezes",'AV 1'!N88,"-")</f>
        <v>-</v>
      </c>
      <c r="C528" s="69" t="str">
        <f>IF('AV 1'!O88="Não",'AV 1'!N88,"-")</f>
        <v>-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81" t="str">
        <f>IF('AV 1'!O89="Às vezes",'AV 1'!N89,"-")</f>
        <v>-</v>
      </c>
      <c r="C529" s="69" t="str">
        <f>IF('AV 1'!O89="Não",'AV 1'!N89,"-")</f>
        <v>-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81" t="str">
        <f>IF('AV 1'!O90="Às vezes",'AV 1'!N90,"-")</f>
        <v>-</v>
      </c>
      <c r="C530" s="69" t="str">
        <f>IF('AV 1'!O90="Não",'AV 1'!N90,"-")</f>
        <v>-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81" t="str">
        <f>IF('AV 1'!O91="Às vezes",'AV 1'!N91,"-")</f>
        <v>-</v>
      </c>
      <c r="C531" s="69" t="str">
        <f>IF('AV 1'!O91="Não",'AV 1'!N91,"-")</f>
        <v>-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81" t="str">
        <f>IF('AV 1'!O92="Às vezes",'AV 1'!N92,"-")</f>
        <v>-</v>
      </c>
      <c r="C532" s="69" t="str">
        <f>IF('AV 1'!O92="Não",'AV 1'!N92,"-")</f>
        <v>-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81" t="str">
        <f>IF('AV 1'!O93="Às vezes",'AV 1'!N93,"-")</f>
        <v>-</v>
      </c>
      <c r="C533" s="69" t="str">
        <f>IF('AV 1'!O93="Não",'AV 1'!N93,"-")</f>
        <v>77 Faz bolas de argila, barro ou massinha.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81" t="str">
        <f>IF('AV 1'!O94="Às vezes",'AV 1'!N94,"-")</f>
        <v>-</v>
      </c>
      <c r="C534" s="69" t="str">
        <f>IF('AV 1'!O94="Não",'AV 1'!N94,"-")</f>
        <v>-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81" t="str">
        <f>IF('AV 1'!O95="Às vezes",'AV 1'!N95,"-")</f>
        <v>-</v>
      </c>
      <c r="C535" s="69" t="str">
        <f>IF('AV 1'!O95="Não",'AV 1'!N95,"-")</f>
        <v>-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81" t="str">
        <f>IF('AV 1'!O96="Às vezes",'AV 1'!N96,"-")</f>
        <v>-</v>
      </c>
      <c r="C536" s="69" t="str">
        <f>IF('AV 1'!O96="Não",'AV 1'!N96,"-")</f>
        <v>-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81" t="str">
        <f>IF('AV 1'!O97="Às vezes",'AV 1'!N97,"-")</f>
        <v>-</v>
      </c>
      <c r="C537" s="69" t="str">
        <f>IF('AV 1'!O97="Não",'AV 1'!N97,"-")</f>
        <v>-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81" t="str">
        <f>IF('AV 1'!O98="Às vezes",'AV 1'!N98,"-")</f>
        <v>-</v>
      </c>
      <c r="C538" s="69" t="str">
        <f>IF('AV 1'!O98="Não",'AV 1'!N98,"-")</f>
        <v>-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81" t="str">
        <f>IF('AV 1'!O99="Às vezes",'AV 1'!N99,"-")</f>
        <v>-</v>
      </c>
      <c r="C539" s="69" t="str">
        <f>IF('AV 1'!O99="Não",'AV 1'!N99,"-")</f>
        <v>-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81" t="str">
        <f>IF('AV 1'!O100="Às vezes",'AV 1'!N100,"-")</f>
        <v>-</v>
      </c>
      <c r="C540" s="69" t="str">
        <f>IF('AV 1'!O100="Não",'AV 1'!N100,"-")</f>
        <v>-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81" t="str">
        <f>IF('AV 1'!O101="Às vezes",'AV 1'!N101,"-")</f>
        <v>-</v>
      </c>
      <c r="C541" s="69" t="str">
        <f>IF('AV 1'!O101="Não",'AV 1'!N101,"-")</f>
        <v>-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81" t="str">
        <f>IF('AV 1'!O102="Às vezes",'AV 1'!N102,"-")</f>
        <v>-</v>
      </c>
      <c r="C542" s="69" t="str">
        <f>IF('AV 1'!O102="Não",'AV 1'!N102,"-")</f>
        <v>-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81" t="str">
        <f>IF('AV 1'!O103="Às vezes",'AV 1'!N103,"-")</f>
        <v>-</v>
      </c>
      <c r="C543" s="69" t="str">
        <f>IF('AV 1'!O103="Não",'AV 1'!N103,"-")</f>
        <v>-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81" t="str">
        <f>IF('AV 1'!O104="Às vezes",'AV 1'!N104,"-")</f>
        <v>-</v>
      </c>
      <c r="C544" s="69" t="str">
        <f>IF('AV 1'!O104="Não",'AV 1'!N104,"-")</f>
        <v>-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81" t="str">
        <f>IF('AV 1'!O105="Às vezes",'AV 1'!N105,"-")</f>
        <v>-</v>
      </c>
      <c r="C545" s="69" t="str">
        <f>IF('AV 1'!O105="Não",'AV 1'!N105,"-")</f>
        <v>-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81" t="str">
        <f>IF('AV 1'!O106="Às vezes",'AV 1'!N106,"-")</f>
        <v>-</v>
      </c>
      <c r="C546" s="69" t="str">
        <f>IF('AV 1'!O106="Não",'AV 1'!N106,"-")</f>
        <v>-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81" t="str">
        <f>IF('AV 1'!O107="Às vezes",'AV 1'!N107,"-")</f>
        <v>-</v>
      </c>
      <c r="C547" s="69" t="str">
        <f>IF('AV 1'!O107="Não",'AV 1'!N107,"-")</f>
        <v>-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81" t="str">
        <f>IF('AV 1'!O108="Às vezes",'AV 1'!N108,"-")</f>
        <v>-</v>
      </c>
      <c r="C548" s="69" t="str">
        <f>IF('AV 1'!O108="Não",'AV 1'!N108,"-")</f>
        <v>-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81" t="str">
        <f>IF('AV 1'!O109="Às vezes",'AV 1'!N109,"-")</f>
        <v>-</v>
      </c>
      <c r="C549" s="69" t="str">
        <f>IF('AV 1'!O109="Não",'AV 1'!N109,"-")</f>
        <v>-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81" t="str">
        <f>IF('AV 1'!O110="Às vezes",'AV 1'!N110,"-")</f>
        <v>-</v>
      </c>
      <c r="C550" s="69" t="str">
        <f>IF('AV 1'!O110="Não",'AV 1'!N110,"-")</f>
        <v>-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81" t="str">
        <f>IF('AV 1'!O111="Às vezes",'AV 1'!N111,"-")</f>
        <v>-</v>
      </c>
      <c r="C551" s="69" t="str">
        <f>IF('AV 1'!O111="Não",'AV 1'!N111,"-")</f>
        <v>-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81" t="str">
        <f>IF('AV 1'!O112="Às vezes",'AV 1'!N112,"-")</f>
        <v>-</v>
      </c>
      <c r="C552" s="69" t="str">
        <f>IF('AV 1'!O112="Não",'AV 1'!N112,"-")</f>
        <v>-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81" t="str">
        <f>IF('AV 1'!O113="Às vezes",'AV 1'!N113,"-")</f>
        <v>-</v>
      </c>
      <c r="C553" s="81" t="str">
        <f>IF('AV 1'!O113="Não",'AV 1'!N113,"-")</f>
        <v>-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81" t="str">
        <f>IF('AV 1'!O114="Às vezes",'AV 1'!N114,"-")</f>
        <v>-</v>
      </c>
      <c r="C554" s="81" t="str">
        <f>IF('AV 1'!O114="Não",'AV 1'!N114,"-")</f>
        <v>-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81" t="str">
        <f>IF('AV 1'!O115="Às vezes",'AV 1'!N115,"-")</f>
        <v>-</v>
      </c>
      <c r="C555" s="81" t="str">
        <f>IF('AV 1'!O115="Não",'AV 1'!N115,"-")</f>
        <v>-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81" t="str">
        <f>IF('AV 1'!O116="Às vezes",'AV 1'!N116,"-")</f>
        <v>-</v>
      </c>
      <c r="C556" s="81" t="str">
        <f>IF('AV 1'!O116="Não",'AV 1'!N116,"-")</f>
        <v>-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81" t="str">
        <f>IF('AV 1'!O117="Às vezes",'AV 1'!N117,"-")</f>
        <v>-</v>
      </c>
      <c r="C557" s="81" t="str">
        <f>IF('AV 1'!O117="Não",'AV 1'!N117,"-")</f>
        <v>-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81" t="str">
        <f>IF('AV 1'!O118="Às vezes",'AV 1'!N118,"-")</f>
        <v>-</v>
      </c>
      <c r="C558" s="81" t="str">
        <f>IF('AV 1'!O118="Não",'AV 1'!N118,"-")</f>
        <v>-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81" t="str">
        <f>IF('AV 1'!O119="Às vezes",'AV 1'!N119,"-")</f>
        <v>-</v>
      </c>
      <c r="C559" s="81" t="str">
        <f>IF('AV 1'!O119="Não",'AV 1'!N119,"-")</f>
        <v>-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81" t="str">
        <f>IF('AV 1'!O120="Às vezes",'AV 1'!N120,"-")</f>
        <v>-</v>
      </c>
      <c r="C560" s="81" t="str">
        <f>IF('AV 1'!O120="Não",'AV 1'!N120,"-")</f>
        <v>-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81" t="str">
        <f>IF('AV 1'!O121="Às vezes",'AV 1'!N121,"-")</f>
        <v>-</v>
      </c>
      <c r="C561" s="81" t="str">
        <f>IF('AV 1'!O121="Não",'AV 1'!N121,"-")</f>
        <v>-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81" t="str">
        <f>IF('AV 1'!O122="Às vezes",'AV 1'!N122,"-")</f>
        <v>-</v>
      </c>
      <c r="C562" s="81" t="str">
        <f>IF('AV 1'!O122="Não",'AV 1'!N122,"-")</f>
        <v>-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81" t="str">
        <f>IF('AV 1'!O123="Às vezes",'AV 1'!N123,"-")</f>
        <v>-</v>
      </c>
      <c r="C563" s="81" t="str">
        <f>IF('AV 1'!O123="Não",'AV 1'!N123,"-")</f>
        <v>-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81" t="str">
        <f>IF('AV 1'!O124="Às vezes",'AV 1'!N124,"-")</f>
        <v>-</v>
      </c>
      <c r="C564" s="81" t="str">
        <f>IF('AV 1'!O124="Não",'AV 1'!N124,"-")</f>
        <v>-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81" t="str">
        <f>IF('AV 1'!O125="Às vezes",'AV 1'!N125,"-")</f>
        <v>-</v>
      </c>
      <c r="C565" s="81" t="str">
        <f>IF('AV 1'!O125="Não",'AV 1'!N125,"-")</f>
        <v>-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81" t="str">
        <f>IF('AV 1'!O126="Às vezes",'AV 1'!N126,"-")</f>
        <v>-</v>
      </c>
      <c r="C566" s="81" t="str">
        <f>IF('AV 1'!O126="Não",'AV 1'!N126,"-")</f>
        <v>-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81" t="str">
        <f>IF('AV 1'!O127="Às vezes",'AV 1'!N127,"-")</f>
        <v>-</v>
      </c>
      <c r="C567" s="81" t="str">
        <f>IF('AV 1'!O127="Não",'AV 1'!N127,"-")</f>
        <v>-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81" t="str">
        <f>IF('AV 1'!O128="Às vezes",'AV 1'!N128,"-")</f>
        <v>-</v>
      </c>
      <c r="C568" s="81" t="str">
        <f>IF('AV 1'!O128="Não",'AV 1'!N128,"-")</f>
        <v>-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81" t="str">
        <f>IF('AV 1'!O129="Às vezes",'AV 1'!N129,"-")</f>
        <v>-</v>
      </c>
      <c r="C569" s="81" t="str">
        <f>IF('AV 1'!O129="Não",'AV 1'!N129,"-")</f>
        <v>-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81" t="str">
        <f>IF('AV 1'!O130="Às vezes",'AV 1'!N130,"-")</f>
        <v>-</v>
      </c>
      <c r="C570" s="81" t="str">
        <f>IF('AV 1'!O130="Não",'AV 1'!N130,"-")</f>
        <v>-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81" t="str">
        <f>IF('AV 1'!O131="Às vezes",'AV 1'!N131,"-")</f>
        <v>-</v>
      </c>
      <c r="C571" s="81" t="str">
        <f>IF('AV 1'!O131="Não",'AV 1'!N131,"-")</f>
        <v>-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81" t="str">
        <f>IF('AV 1'!O132="Às vezes",'AV 1'!N132,"-")</f>
        <v>-</v>
      </c>
      <c r="C572" s="81" t="str">
        <f>IF('AV 1'!O132="Não",'AV 1'!N132,"-")</f>
        <v>-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81" t="str">
        <f>IF('AV 1'!O133="Às vezes",'AV 1'!N133,"-")</f>
        <v>-</v>
      </c>
      <c r="C573" s="81" t="str">
        <f>IF('AV 1'!O133="Não",'AV 1'!N133,"-")</f>
        <v>-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81" t="str">
        <f>IF('AV 1'!O134="Às vezes",'AV 1'!N134,"-")</f>
        <v>-</v>
      </c>
      <c r="C574" s="81" t="str">
        <f>IF('AV 1'!O134="Não",'AV 1'!N134,"-")</f>
        <v>-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81" t="str">
        <f>IF('AV 1'!O135="Às vezes",'AV 1'!N135,"-")</f>
        <v>-</v>
      </c>
      <c r="C575" s="81" t="str">
        <f>IF('AV 1'!O135="Não",'AV 1'!N135,"-")</f>
        <v>-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81" t="str">
        <f>IF('AV 1'!O136="Às vezes",'AV 1'!N136,"-")</f>
        <v>-</v>
      </c>
      <c r="C576" s="81" t="str">
        <f>IF('AV 1'!O136="Não",'AV 1'!N136,"-")</f>
        <v>-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81" t="str">
        <f>IF('AV 1'!O137="Às vezes",'AV 1'!N137,"-")</f>
        <v>-</v>
      </c>
      <c r="C577" s="81" t="str">
        <f>IF('AV 1'!O137="Não",'AV 1'!N137,"-")</f>
        <v>-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81" t="str">
        <f>IF('AV 1'!O138="Às vezes",'AV 1'!N138,"-")</f>
        <v>-</v>
      </c>
      <c r="C578" s="81" t="str">
        <f>IF('AV 1'!O138="Não",'AV 1'!N138,"-")</f>
        <v>-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81" t="str">
        <f>IF('AV 1'!O139="Às vezes",'AV 1'!N139,"-")</f>
        <v>-</v>
      </c>
      <c r="C579" s="81" t="str">
        <f>IF('AV 1'!O139="Não",'AV 1'!N139,"-")</f>
        <v>-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81" t="str">
        <f>IF('AV 1'!O140="Às vezes",'AV 1'!N140,"-")</f>
        <v>-</v>
      </c>
      <c r="C580" s="81" t="str">
        <f>IF('AV 1'!O140="Não",'AV 1'!N140,"-")</f>
        <v>-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81" t="str">
        <f>IF('AV 1'!O141="Às vezes",'AV 1'!N141,"-")</f>
        <v>-</v>
      </c>
      <c r="C581" s="81" t="str">
        <f>IF('AV 1'!O141="Não",'AV 1'!N141,"-")</f>
        <v>-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81" t="str">
        <f>IF('AV 1'!O142="Às vezes",'AV 1'!N142,"-")</f>
        <v>-</v>
      </c>
      <c r="C582" s="81" t="str">
        <f>IF('AV 1'!O142="Não",'AV 1'!N142,"-")</f>
        <v>-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81" t="str">
        <f>IF('AV 1'!O143="Às vezes",'AV 1'!N143,"-")</f>
        <v>-</v>
      </c>
      <c r="C583" s="81" t="str">
        <f>IF('AV 1'!O143="Não",'AV 1'!N143,"-")</f>
        <v>-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81" t="str">
        <f>IF('AV 1'!O144="Às vezes",'AV 1'!N144,"-")</f>
        <v>-</v>
      </c>
      <c r="C584" s="81" t="str">
        <f>IF('AV 1'!O144="Não",'AV 1'!N144,"-")</f>
        <v>-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81" t="str">
        <f>IF('AV 1'!O145="Às vezes",'AV 1'!N145,"-")</f>
        <v>-</v>
      </c>
      <c r="C585" s="81" t="str">
        <f>IF('AV 1'!O145="Não",'AV 1'!N145,"-")</f>
        <v>-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81" t="str">
        <f>IF('AV 1'!O146="Às vezes",'AV 1'!N146,"-")</f>
        <v>-</v>
      </c>
      <c r="C586" s="81" t="str">
        <f>IF('AV 1'!O146="Não",'AV 1'!N146,"-")</f>
        <v>-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81" t="str">
        <f>IF('AV 1'!O147="Às vezes",'AV 1'!N147,"-")</f>
        <v>-</v>
      </c>
      <c r="C587" s="81" t="str">
        <f>IF('AV 1'!O147="Não",'AV 1'!N147,"-")</f>
        <v>-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81" t="str">
        <f>IF('AV 1'!O148="Às vezes",'AV 1'!N148,"-")</f>
        <v>-</v>
      </c>
      <c r="C588" s="81" t="str">
        <f>IF('AV 1'!O148="Não",'AV 1'!N148,"-")</f>
        <v>-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81" t="str">
        <f>IF('AV 1'!O149="Às vezes",'AV 1'!N149,"-")</f>
        <v>-</v>
      </c>
      <c r="C589" s="81" t="str">
        <f>IF('AV 1'!O149="Não",'AV 1'!N149,"-")</f>
        <v>-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81" t="str">
        <f>IF('AV 1'!O150="Às vezes",'AV 1'!N150,"-")</f>
        <v>-</v>
      </c>
      <c r="C590" s="81" t="str">
        <f>IF('AV 1'!O150="Não",'AV 1'!N150,"-")</f>
        <v>-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81" t="str">
        <f>IF('AV 1'!O151="Às vezes",'AV 1'!N151,"-")</f>
        <v>-</v>
      </c>
      <c r="C591" s="81" t="str">
        <f>IF('AV 1'!O151="Não",'AV 1'!N151,"-")</f>
        <v>-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81" t="str">
        <f>IF('AV 1'!O152="Às vezes",'AV 1'!N152,"-")</f>
        <v>-</v>
      </c>
      <c r="C592" s="81" t="str">
        <f>IF('AV 1'!O152="Não",'AV 1'!N152,"-")</f>
        <v>-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81" t="str">
        <f>IF('AV 1'!O153="Às vezes",'AV 1'!N153,"-")</f>
        <v>-</v>
      </c>
      <c r="C593" s="81" t="str">
        <f>IF('AV 1'!O153="Não",'AV 1'!N153,"-")</f>
        <v>-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81" t="str">
        <f>IF('AV 1'!O154="Às vezes",'AV 1'!N154,"-")</f>
        <v>-</v>
      </c>
      <c r="C594" s="81" t="str">
        <f>IF('AV 1'!O154="Não",'AV 1'!N154,"-")</f>
        <v>-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81" t="str">
        <f>IF('AV 1'!O155="Às vezes",'AV 1'!N155,"-")</f>
        <v>-</v>
      </c>
      <c r="C595" s="81" t="str">
        <f>IF('AV 1'!O155="Não",'AV 1'!N155,"-")</f>
        <v>-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81" t="str">
        <f>IF('AV 1'!O156="Às vezes",'AV 1'!N156,"-")</f>
        <v>-</v>
      </c>
      <c r="C596" s="81" t="str">
        <f>IF('AV 1'!O156="Não",'AV 1'!N156,"-")</f>
        <v>-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81" t="str">
        <f>IF('AV 1'!O157="Às vezes",'AV 1'!N157,"-")</f>
        <v>-</v>
      </c>
      <c r="C597" s="81" t="str">
        <f>IF('AV 1'!O157="Não",'AV 1'!N157,"-")</f>
        <v>-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81" t="str">
        <f>IF('AV 1'!O158="Às vezes",'AV 1'!N158,"-")</f>
        <v>-</v>
      </c>
      <c r="C598" s="81" t="str">
        <f>IF('AV 1'!O158="Não",'AV 1'!N158,"-")</f>
        <v>-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81" t="str">
        <f>IF('AV 1'!O159="Às vezes",'AV 1'!N159,"-")</f>
        <v>-</v>
      </c>
      <c r="C599" s="81" t="str">
        <f>IF('AV 1'!O159="Não",'AV 1'!N159,"-")</f>
        <v>-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81" t="str">
        <f>IF('AV 1'!O160="Às vezes",'AV 1'!N160,"-")</f>
        <v>-</v>
      </c>
      <c r="C600" s="81" t="str">
        <f>IF('AV 1'!O160="Não",'AV 1'!N160,"-")</f>
        <v>-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81" t="str">
        <f>IF('AV 1'!O161="Às vezes",'AV 1'!N161,"-")</f>
        <v>-</v>
      </c>
      <c r="C601" s="81" t="str">
        <f>IF('AV 1'!O161="Não",'AV 1'!N161,"-")</f>
        <v>-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81" t="str">
        <f>IF('AV 1'!O162="Às vezes",'AV 1'!N162,"-")</f>
        <v>-</v>
      </c>
      <c r="C602" s="81" t="str">
        <f>IF('AV 1'!O162="Não",'AV 1'!N162,"-")</f>
        <v>-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1:$C$614"/>
  <mergeCells count="3">
    <mergeCell ref="B2:C2"/>
    <mergeCell ref="B9:C9"/>
    <mergeCell ref="B10:C10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59.43"/>
    <col customWidth="1" min="3" max="3" width="20.86"/>
    <col customWidth="1" min="4" max="4" width="9.57"/>
    <col customWidth="1" min="5" max="5" width="59.43"/>
    <col customWidth="1" min="6" max="6" width="18.43"/>
    <col customWidth="1" min="7" max="7" width="11.71"/>
    <col customWidth="1" min="8" max="8" width="59.43"/>
    <col customWidth="1" min="9" max="9" width="17.43"/>
    <col customWidth="1" min="10" max="10" width="11.43"/>
    <col customWidth="1" min="11" max="11" width="59.57"/>
    <col customWidth="1" min="12" max="12" width="17.43"/>
    <col customWidth="1" min="13" max="13" width="10.86"/>
    <col customWidth="1" min="14" max="14" width="59.43"/>
    <col customWidth="1" min="15" max="15" width="17.43"/>
    <col customWidth="1" min="16" max="16" width="12.0"/>
    <col customWidth="1" min="17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6"/>
      <c r="C3" s="6"/>
      <c r="D3" s="6"/>
      <c r="E3" s="6"/>
      <c r="F3" s="7"/>
      <c r="G3" s="6"/>
      <c r="H3" s="6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615</v>
      </c>
      <c r="C4" s="82" t="s">
        <v>623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624</v>
      </c>
      <c r="C5" s="82">
        <v>6.0</v>
      </c>
      <c r="D5" s="6"/>
      <c r="E5" s="6"/>
      <c r="F5" s="7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617</v>
      </c>
      <c r="C6" s="82" t="s">
        <v>625</v>
      </c>
      <c r="D6" s="6"/>
      <c r="E6" s="6"/>
      <c r="F6" s="7"/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618</v>
      </c>
      <c r="C7" s="83">
        <v>45737.0</v>
      </c>
      <c r="D7" s="6"/>
      <c r="E7" s="6"/>
      <c r="F7" s="7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6"/>
      <c r="E8" s="6"/>
      <c r="F8" s="7"/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2.25" customHeight="1">
      <c r="A9" s="1"/>
      <c r="B9" s="12" t="s">
        <v>626</v>
      </c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1"/>
      <c r="B10" s="12" t="s">
        <v>8</v>
      </c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3"/>
      <c r="B11" s="16" t="s">
        <v>9</v>
      </c>
      <c r="C11" s="17"/>
      <c r="D11" s="18"/>
      <c r="E11" s="16" t="s">
        <v>10</v>
      </c>
      <c r="F11" s="17"/>
      <c r="G11" s="18"/>
      <c r="H11" s="16" t="s">
        <v>11</v>
      </c>
      <c r="I11" s="17"/>
      <c r="J11" s="18"/>
      <c r="K11" s="16" t="s">
        <v>12</v>
      </c>
      <c r="L11" s="17"/>
      <c r="M11" s="18"/>
      <c r="N11" s="16" t="s">
        <v>13</v>
      </c>
      <c r="O11" s="17"/>
      <c r="P11" s="18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1"/>
      <c r="B12" s="19" t="s">
        <v>14</v>
      </c>
      <c r="C12" s="20" t="s">
        <v>15</v>
      </c>
      <c r="D12" s="20" t="s">
        <v>16</v>
      </c>
      <c r="E12" s="19" t="s">
        <v>17</v>
      </c>
      <c r="F12" s="20" t="s">
        <v>15</v>
      </c>
      <c r="G12" s="20" t="s">
        <v>16</v>
      </c>
      <c r="H12" s="19" t="s">
        <v>18</v>
      </c>
      <c r="I12" s="20" t="s">
        <v>15</v>
      </c>
      <c r="J12" s="20" t="s">
        <v>16</v>
      </c>
      <c r="K12" s="19" t="s">
        <v>19</v>
      </c>
      <c r="L12" s="20" t="s">
        <v>15</v>
      </c>
      <c r="M12" s="20" t="s">
        <v>16</v>
      </c>
      <c r="N12" s="19" t="s">
        <v>20</v>
      </c>
      <c r="O12" s="20" t="s">
        <v>15</v>
      </c>
      <c r="P12" s="20" t="s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21</v>
      </c>
      <c r="C13" s="22" t="s">
        <v>165</v>
      </c>
      <c r="D13" s="22">
        <f t="shared" ref="D13:D40" si="1">IF(C13="Sim",1,IF(C13="Não",0,IF(C13="Às vezes",0.5,"-")))</f>
        <v>1</v>
      </c>
      <c r="E13" s="21" t="s">
        <v>22</v>
      </c>
      <c r="F13" s="22"/>
      <c r="G13" s="22" t="str">
        <f t="shared" ref="G13:G22" si="2">IF(F13="Sim",1,IF(F13="Não",0,IF(F13="Às vezes",0.5,"-")))</f>
        <v>-</v>
      </c>
      <c r="H13" s="21" t="s">
        <v>23</v>
      </c>
      <c r="I13" s="22"/>
      <c r="J13" s="22" t="str">
        <f t="shared" ref="J13:J26" si="3">IF(I13="Sim",1,IF(I13="Não",0,IF(I13="Às vezes",0.5,"-")))</f>
        <v>-</v>
      </c>
      <c r="K13" s="21" t="s">
        <v>24</v>
      </c>
      <c r="L13" s="22"/>
      <c r="M13" s="22" t="str">
        <f t="shared" ref="M13:M25" si="4">IF(L13="Sim",1,IF(L13="Não",0,IF(L13="Às vezes",0.5,"-")))</f>
        <v>-</v>
      </c>
      <c r="N13" s="21" t="s">
        <v>25</v>
      </c>
      <c r="O13" s="22"/>
      <c r="P13" s="22" t="str">
        <f t="shared" ref="P13:P57" si="5">IF(O13="Sim",1,IF(O13="Não",0,IF(O13="Às vezes",0.5,"-")))</f>
        <v>-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 t="s">
        <v>26</v>
      </c>
      <c r="C14" s="22" t="s">
        <v>205</v>
      </c>
      <c r="D14" s="22">
        <f t="shared" si="1"/>
        <v>0</v>
      </c>
      <c r="E14" s="21" t="s">
        <v>27</v>
      </c>
      <c r="F14" s="22"/>
      <c r="G14" s="22" t="str">
        <f t="shared" si="2"/>
        <v>-</v>
      </c>
      <c r="H14" s="21" t="s">
        <v>28</v>
      </c>
      <c r="I14" s="22"/>
      <c r="J14" s="22" t="str">
        <f t="shared" si="3"/>
        <v>-</v>
      </c>
      <c r="K14" s="21" t="s">
        <v>29</v>
      </c>
      <c r="L14" s="22"/>
      <c r="M14" s="22" t="str">
        <f t="shared" si="4"/>
        <v>-</v>
      </c>
      <c r="N14" s="21" t="s">
        <v>30</v>
      </c>
      <c r="O14" s="22"/>
      <c r="P14" s="22" t="str">
        <f t="shared" si="5"/>
        <v>-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 t="s">
        <v>31</v>
      </c>
      <c r="C15" s="22" t="s">
        <v>627</v>
      </c>
      <c r="D15" s="22">
        <f t="shared" si="1"/>
        <v>0.5</v>
      </c>
      <c r="E15" s="21" t="s">
        <v>32</v>
      </c>
      <c r="F15" s="22"/>
      <c r="G15" s="22" t="str">
        <f t="shared" si="2"/>
        <v>-</v>
      </c>
      <c r="H15" s="21" t="s">
        <v>33</v>
      </c>
      <c r="I15" s="22"/>
      <c r="J15" s="22" t="str">
        <f t="shared" si="3"/>
        <v>-</v>
      </c>
      <c r="K15" s="21" t="s">
        <v>34</v>
      </c>
      <c r="L15" s="22"/>
      <c r="M15" s="22" t="str">
        <f t="shared" si="4"/>
        <v>-</v>
      </c>
      <c r="N15" s="21" t="s">
        <v>35</v>
      </c>
      <c r="O15" s="22"/>
      <c r="P15" s="22" t="str">
        <f t="shared" si="5"/>
        <v>-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1" t="s">
        <v>36</v>
      </c>
      <c r="C16" s="22" t="s">
        <v>628</v>
      </c>
      <c r="D16" s="22" t="str">
        <f t="shared" si="1"/>
        <v>-</v>
      </c>
      <c r="E16" s="21" t="s">
        <v>37</v>
      </c>
      <c r="F16" s="22"/>
      <c r="G16" s="22" t="str">
        <f t="shared" si="2"/>
        <v>-</v>
      </c>
      <c r="H16" s="21" t="s">
        <v>38</v>
      </c>
      <c r="I16" s="22"/>
      <c r="J16" s="22" t="str">
        <f t="shared" si="3"/>
        <v>-</v>
      </c>
      <c r="K16" s="21" t="s">
        <v>39</v>
      </c>
      <c r="L16" s="22"/>
      <c r="M16" s="22" t="str">
        <f t="shared" si="4"/>
        <v>-</v>
      </c>
      <c r="N16" s="21" t="s">
        <v>40</v>
      </c>
      <c r="O16" s="22"/>
      <c r="P16" s="22" t="str">
        <f t="shared" si="5"/>
        <v>-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" t="s">
        <v>41</v>
      </c>
      <c r="C17" s="22"/>
      <c r="D17" s="22" t="str">
        <f t="shared" si="1"/>
        <v>-</v>
      </c>
      <c r="E17" s="21" t="s">
        <v>42</v>
      </c>
      <c r="F17" s="22"/>
      <c r="G17" s="22" t="str">
        <f t="shared" si="2"/>
        <v>-</v>
      </c>
      <c r="H17" s="21" t="s">
        <v>43</v>
      </c>
      <c r="I17" s="22"/>
      <c r="J17" s="22" t="str">
        <f t="shared" si="3"/>
        <v>-</v>
      </c>
      <c r="K17" s="21" t="s">
        <v>44</v>
      </c>
      <c r="L17" s="22"/>
      <c r="M17" s="22" t="str">
        <f t="shared" si="4"/>
        <v>-</v>
      </c>
      <c r="N17" s="21" t="s">
        <v>45</v>
      </c>
      <c r="O17" s="22"/>
      <c r="P17" s="22" t="str">
        <f t="shared" si="5"/>
        <v>-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" t="s">
        <v>46</v>
      </c>
      <c r="C18" s="22"/>
      <c r="D18" s="22" t="str">
        <f t="shared" si="1"/>
        <v>-</v>
      </c>
      <c r="E18" s="21" t="s">
        <v>47</v>
      </c>
      <c r="F18" s="22"/>
      <c r="G18" s="22" t="str">
        <f t="shared" si="2"/>
        <v>-</v>
      </c>
      <c r="H18" s="21" t="s">
        <v>48</v>
      </c>
      <c r="I18" s="22"/>
      <c r="J18" s="22" t="str">
        <f t="shared" si="3"/>
        <v>-</v>
      </c>
      <c r="K18" s="21" t="s">
        <v>49</v>
      </c>
      <c r="L18" s="22"/>
      <c r="M18" s="22" t="str">
        <f t="shared" si="4"/>
        <v>-</v>
      </c>
      <c r="N18" s="21" t="s">
        <v>50</v>
      </c>
      <c r="O18" s="22"/>
      <c r="P18" s="22" t="str">
        <f t="shared" si="5"/>
        <v>-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1" t="s">
        <v>51</v>
      </c>
      <c r="C19" s="22"/>
      <c r="D19" s="22" t="str">
        <f t="shared" si="1"/>
        <v>-</v>
      </c>
      <c r="E19" s="21" t="s">
        <v>52</v>
      </c>
      <c r="F19" s="22"/>
      <c r="G19" s="22" t="str">
        <f t="shared" si="2"/>
        <v>-</v>
      </c>
      <c r="H19" s="21" t="s">
        <v>53</v>
      </c>
      <c r="I19" s="22"/>
      <c r="J19" s="22" t="str">
        <f t="shared" si="3"/>
        <v>-</v>
      </c>
      <c r="K19" s="21" t="s">
        <v>54</v>
      </c>
      <c r="L19" s="22"/>
      <c r="M19" s="22" t="str">
        <f t="shared" si="4"/>
        <v>-</v>
      </c>
      <c r="N19" s="21" t="s">
        <v>55</v>
      </c>
      <c r="O19" s="22"/>
      <c r="P19" s="22" t="str">
        <f t="shared" si="5"/>
        <v>-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 t="s">
        <v>56</v>
      </c>
      <c r="C20" s="22"/>
      <c r="D20" s="22" t="str">
        <f t="shared" si="1"/>
        <v>-</v>
      </c>
      <c r="E20" s="21" t="s">
        <v>57</v>
      </c>
      <c r="F20" s="22"/>
      <c r="G20" s="22" t="str">
        <f t="shared" si="2"/>
        <v>-</v>
      </c>
      <c r="H20" s="21" t="s">
        <v>58</v>
      </c>
      <c r="I20" s="22"/>
      <c r="J20" s="22" t="str">
        <f t="shared" si="3"/>
        <v>-</v>
      </c>
      <c r="K20" s="21" t="s">
        <v>59</v>
      </c>
      <c r="L20" s="22"/>
      <c r="M20" s="22" t="str">
        <f t="shared" si="4"/>
        <v>-</v>
      </c>
      <c r="N20" s="21" t="s">
        <v>60</v>
      </c>
      <c r="O20" s="22"/>
      <c r="P20" s="22" t="str">
        <f t="shared" si="5"/>
        <v>-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61</v>
      </c>
      <c r="C21" s="22"/>
      <c r="D21" s="22" t="str">
        <f t="shared" si="1"/>
        <v>-</v>
      </c>
      <c r="E21" s="21" t="s">
        <v>62</v>
      </c>
      <c r="F21" s="22"/>
      <c r="G21" s="22" t="str">
        <f t="shared" si="2"/>
        <v>-</v>
      </c>
      <c r="H21" s="21" t="s">
        <v>63</v>
      </c>
      <c r="I21" s="22"/>
      <c r="J21" s="22" t="str">
        <f t="shared" si="3"/>
        <v>-</v>
      </c>
      <c r="K21" s="21" t="s">
        <v>64</v>
      </c>
      <c r="L21" s="22"/>
      <c r="M21" s="22" t="str">
        <f t="shared" si="4"/>
        <v>-</v>
      </c>
      <c r="N21" s="21" t="s">
        <v>65</v>
      </c>
      <c r="O21" s="22"/>
      <c r="P21" s="22" t="str">
        <f t="shared" si="5"/>
        <v>-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1" t="s">
        <v>66</v>
      </c>
      <c r="C22" s="22"/>
      <c r="D22" s="22" t="str">
        <f t="shared" si="1"/>
        <v>-</v>
      </c>
      <c r="E22" s="21" t="s">
        <v>67</v>
      </c>
      <c r="F22" s="22"/>
      <c r="G22" s="22" t="str">
        <f t="shared" si="2"/>
        <v>-</v>
      </c>
      <c r="H22" s="21" t="s">
        <v>68</v>
      </c>
      <c r="I22" s="22"/>
      <c r="J22" s="22" t="str">
        <f t="shared" si="3"/>
        <v>-</v>
      </c>
      <c r="K22" s="21" t="s">
        <v>69</v>
      </c>
      <c r="L22" s="22"/>
      <c r="M22" s="22" t="str">
        <f t="shared" si="4"/>
        <v>-</v>
      </c>
      <c r="N22" s="21" t="s">
        <v>70</v>
      </c>
      <c r="O22" s="22"/>
      <c r="P22" s="22" t="str">
        <f t="shared" si="5"/>
        <v>-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8.5" customHeight="1">
      <c r="A23" s="1"/>
      <c r="B23" s="21" t="s">
        <v>71</v>
      </c>
      <c r="C23" s="22"/>
      <c r="D23" s="22" t="str">
        <f t="shared" si="1"/>
        <v>-</v>
      </c>
      <c r="E23" s="23" t="s">
        <v>72</v>
      </c>
      <c r="F23" s="16">
        <f>SUM(G13:G22)</f>
        <v>0</v>
      </c>
      <c r="G23" s="18"/>
      <c r="H23" s="21" t="s">
        <v>73</v>
      </c>
      <c r="I23" s="22"/>
      <c r="J23" s="22" t="str">
        <f t="shared" si="3"/>
        <v>-</v>
      </c>
      <c r="K23" s="21" t="s">
        <v>74</v>
      </c>
      <c r="L23" s="22"/>
      <c r="M23" s="22" t="str">
        <f t="shared" si="4"/>
        <v>-</v>
      </c>
      <c r="N23" s="21" t="s">
        <v>75</v>
      </c>
      <c r="O23" s="22"/>
      <c r="P23" s="22" t="str">
        <f t="shared" si="5"/>
        <v>-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1"/>
      <c r="B24" s="21" t="s">
        <v>76</v>
      </c>
      <c r="C24" s="22"/>
      <c r="D24" s="22" t="str">
        <f t="shared" si="1"/>
        <v>-</v>
      </c>
      <c r="E24" s="24" t="s">
        <v>77</v>
      </c>
      <c r="F24" s="17"/>
      <c r="G24" s="18"/>
      <c r="H24" s="21" t="s">
        <v>78</v>
      </c>
      <c r="I24" s="22"/>
      <c r="J24" s="22" t="str">
        <f t="shared" si="3"/>
        <v>-</v>
      </c>
      <c r="K24" s="21" t="s">
        <v>79</v>
      </c>
      <c r="L24" s="22"/>
      <c r="M24" s="22" t="str">
        <f t="shared" si="4"/>
        <v>-</v>
      </c>
      <c r="N24" s="21" t="s">
        <v>80</v>
      </c>
      <c r="O24" s="22"/>
      <c r="P24" s="22" t="str">
        <f t="shared" si="5"/>
        <v>-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1" t="s">
        <v>81</v>
      </c>
      <c r="C25" s="22"/>
      <c r="D25" s="22" t="str">
        <f t="shared" si="1"/>
        <v>-</v>
      </c>
      <c r="E25" s="21" t="s">
        <v>82</v>
      </c>
      <c r="F25" s="22"/>
      <c r="G25" s="22" t="str">
        <f t="shared" ref="G25:G42" si="6">IF(F25="Sim",1,IF(F25="Não",0,IF(F25="Às vezes",0.5,"-")))</f>
        <v>-</v>
      </c>
      <c r="H25" s="21" t="s">
        <v>83</v>
      </c>
      <c r="I25" s="22"/>
      <c r="J25" s="22" t="str">
        <f t="shared" si="3"/>
        <v>-</v>
      </c>
      <c r="K25" s="21" t="s">
        <v>84</v>
      </c>
      <c r="L25" s="22"/>
      <c r="M25" s="22" t="str">
        <f t="shared" si="4"/>
        <v>-</v>
      </c>
      <c r="N25" s="21" t="s">
        <v>85</v>
      </c>
      <c r="O25" s="22"/>
      <c r="P25" s="22" t="str">
        <f t="shared" si="5"/>
        <v>-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21" t="s">
        <v>86</v>
      </c>
      <c r="C26" s="22"/>
      <c r="D26" s="22" t="str">
        <f t="shared" si="1"/>
        <v>-</v>
      </c>
      <c r="E26" s="21" t="s">
        <v>87</v>
      </c>
      <c r="F26" s="22"/>
      <c r="G26" s="22" t="str">
        <f t="shared" si="6"/>
        <v>-</v>
      </c>
      <c r="H26" s="21" t="s">
        <v>88</v>
      </c>
      <c r="I26" s="22"/>
      <c r="J26" s="22" t="str">
        <f t="shared" si="3"/>
        <v>-</v>
      </c>
      <c r="K26" s="23" t="s">
        <v>72</v>
      </c>
      <c r="L26" s="16">
        <f>SUM(M13:M25)</f>
        <v>0</v>
      </c>
      <c r="M26" s="18"/>
      <c r="N26" s="21" t="s">
        <v>89</v>
      </c>
      <c r="O26" s="22"/>
      <c r="P26" s="22" t="str">
        <f t="shared" si="5"/>
        <v>-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21" t="s">
        <v>90</v>
      </c>
      <c r="C27" s="22"/>
      <c r="D27" s="22" t="str">
        <f t="shared" si="1"/>
        <v>-</v>
      </c>
      <c r="E27" s="21" t="s">
        <v>91</v>
      </c>
      <c r="F27" s="22"/>
      <c r="G27" s="22" t="str">
        <f t="shared" si="6"/>
        <v>-</v>
      </c>
      <c r="H27" s="23" t="s">
        <v>72</v>
      </c>
      <c r="I27" s="16">
        <f>SUM(J13:J26)</f>
        <v>0</v>
      </c>
      <c r="J27" s="18"/>
      <c r="K27" s="24" t="s">
        <v>92</v>
      </c>
      <c r="L27" s="17"/>
      <c r="M27" s="18"/>
      <c r="N27" s="21" t="s">
        <v>93</v>
      </c>
      <c r="O27" s="22"/>
      <c r="P27" s="22" t="str">
        <f t="shared" si="5"/>
        <v>-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1" t="s">
        <v>94</v>
      </c>
      <c r="C28" s="22"/>
      <c r="D28" s="22" t="str">
        <f t="shared" si="1"/>
        <v>-</v>
      </c>
      <c r="E28" s="21" t="s">
        <v>95</v>
      </c>
      <c r="F28" s="22"/>
      <c r="G28" s="22" t="str">
        <f t="shared" si="6"/>
        <v>-</v>
      </c>
      <c r="H28" s="24" t="s">
        <v>96</v>
      </c>
      <c r="I28" s="17"/>
      <c r="J28" s="18"/>
      <c r="K28" s="21" t="s">
        <v>97</v>
      </c>
      <c r="L28" s="22"/>
      <c r="M28" s="22" t="str">
        <f t="shared" ref="M28:M39" si="7">IF(L28="Sim",1,IF(L28="Não",0,IF(L28="Às vezes",0.5,"-")))</f>
        <v>-</v>
      </c>
      <c r="N28" s="21" t="s">
        <v>98</v>
      </c>
      <c r="O28" s="22"/>
      <c r="P28" s="22" t="str">
        <f t="shared" si="5"/>
        <v>-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1" t="s">
        <v>99</v>
      </c>
      <c r="C29" s="22"/>
      <c r="D29" s="22" t="str">
        <f t="shared" si="1"/>
        <v>-</v>
      </c>
      <c r="E29" s="21" t="s">
        <v>100</v>
      </c>
      <c r="F29" s="22"/>
      <c r="G29" s="22" t="str">
        <f t="shared" si="6"/>
        <v>-</v>
      </c>
      <c r="H29" s="21" t="s">
        <v>101</v>
      </c>
      <c r="I29" s="22"/>
      <c r="J29" s="22" t="str">
        <f t="shared" ref="J29:J38" si="8">IF(I29="Sim",1,IF(I29="Não",0,IF(I29="Às vezes",0.5,"-")))</f>
        <v>-</v>
      </c>
      <c r="K29" s="21" t="s">
        <v>102</v>
      </c>
      <c r="L29" s="22"/>
      <c r="M29" s="22" t="str">
        <f t="shared" si="7"/>
        <v>-</v>
      </c>
      <c r="N29" s="21" t="s">
        <v>103</v>
      </c>
      <c r="O29" s="22"/>
      <c r="P29" s="22" t="str">
        <f t="shared" si="5"/>
        <v>-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1" t="s">
        <v>104</v>
      </c>
      <c r="C30" s="22"/>
      <c r="D30" s="22" t="str">
        <f t="shared" si="1"/>
        <v>-</v>
      </c>
      <c r="E30" s="21" t="s">
        <v>105</v>
      </c>
      <c r="F30" s="22"/>
      <c r="G30" s="22" t="str">
        <f t="shared" si="6"/>
        <v>-</v>
      </c>
      <c r="H30" s="21" t="s">
        <v>106</v>
      </c>
      <c r="I30" s="22"/>
      <c r="J30" s="22" t="str">
        <f t="shared" si="8"/>
        <v>-</v>
      </c>
      <c r="K30" s="21" t="s">
        <v>107</v>
      </c>
      <c r="L30" s="22"/>
      <c r="M30" s="22" t="str">
        <f t="shared" si="7"/>
        <v>-</v>
      </c>
      <c r="N30" s="21" t="s">
        <v>108</v>
      </c>
      <c r="O30" s="22"/>
      <c r="P30" s="22" t="str">
        <f t="shared" si="5"/>
        <v>-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1" t="s">
        <v>109</v>
      </c>
      <c r="C31" s="22"/>
      <c r="D31" s="22" t="str">
        <f t="shared" si="1"/>
        <v>-</v>
      </c>
      <c r="E31" s="21" t="s">
        <v>110</v>
      </c>
      <c r="F31" s="22"/>
      <c r="G31" s="22" t="str">
        <f t="shared" si="6"/>
        <v>-</v>
      </c>
      <c r="H31" s="21" t="s">
        <v>111</v>
      </c>
      <c r="I31" s="22"/>
      <c r="J31" s="22" t="str">
        <f t="shared" si="8"/>
        <v>-</v>
      </c>
      <c r="K31" s="21" t="s">
        <v>112</v>
      </c>
      <c r="L31" s="22"/>
      <c r="M31" s="22" t="str">
        <f t="shared" si="7"/>
        <v>-</v>
      </c>
      <c r="N31" s="21" t="s">
        <v>113</v>
      </c>
      <c r="O31" s="22"/>
      <c r="P31" s="22" t="str">
        <f t="shared" si="5"/>
        <v>-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1" t="s">
        <v>114</v>
      </c>
      <c r="C32" s="22"/>
      <c r="D32" s="22" t="str">
        <f t="shared" si="1"/>
        <v>-</v>
      </c>
      <c r="E32" s="21" t="s">
        <v>115</v>
      </c>
      <c r="F32" s="22"/>
      <c r="G32" s="22" t="str">
        <f t="shared" si="6"/>
        <v>-</v>
      </c>
      <c r="H32" s="21" t="s">
        <v>116</v>
      </c>
      <c r="I32" s="22"/>
      <c r="J32" s="22" t="str">
        <f t="shared" si="8"/>
        <v>-</v>
      </c>
      <c r="K32" s="21" t="s">
        <v>117</v>
      </c>
      <c r="L32" s="22"/>
      <c r="M32" s="22" t="str">
        <f t="shared" si="7"/>
        <v>-</v>
      </c>
      <c r="N32" s="21" t="s">
        <v>118</v>
      </c>
      <c r="O32" s="22"/>
      <c r="P32" s="22" t="str">
        <f t="shared" si="5"/>
        <v>-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1" t="s">
        <v>119</v>
      </c>
      <c r="C33" s="22"/>
      <c r="D33" s="22" t="str">
        <f t="shared" si="1"/>
        <v>-</v>
      </c>
      <c r="E33" s="21" t="s">
        <v>120</v>
      </c>
      <c r="F33" s="22"/>
      <c r="G33" s="22" t="str">
        <f t="shared" si="6"/>
        <v>-</v>
      </c>
      <c r="H33" s="21" t="s">
        <v>121</v>
      </c>
      <c r="I33" s="22"/>
      <c r="J33" s="22" t="str">
        <f t="shared" si="8"/>
        <v>-</v>
      </c>
      <c r="K33" s="21" t="s">
        <v>122</v>
      </c>
      <c r="L33" s="22"/>
      <c r="M33" s="22" t="str">
        <f t="shared" si="7"/>
        <v>-</v>
      </c>
      <c r="N33" s="21" t="s">
        <v>123</v>
      </c>
      <c r="O33" s="22"/>
      <c r="P33" s="22" t="str">
        <f t="shared" si="5"/>
        <v>-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1" t="s">
        <v>124</v>
      </c>
      <c r="C34" s="22"/>
      <c r="D34" s="22" t="str">
        <f t="shared" si="1"/>
        <v>-</v>
      </c>
      <c r="E34" s="21" t="s">
        <v>125</v>
      </c>
      <c r="F34" s="22"/>
      <c r="G34" s="22" t="str">
        <f t="shared" si="6"/>
        <v>-</v>
      </c>
      <c r="H34" s="21" t="s">
        <v>126</v>
      </c>
      <c r="I34" s="22"/>
      <c r="J34" s="22" t="str">
        <f t="shared" si="8"/>
        <v>-</v>
      </c>
      <c r="K34" s="21" t="s">
        <v>127</v>
      </c>
      <c r="L34" s="22"/>
      <c r="M34" s="22" t="str">
        <f t="shared" si="7"/>
        <v>-</v>
      </c>
      <c r="N34" s="21" t="s">
        <v>128</v>
      </c>
      <c r="O34" s="22"/>
      <c r="P34" s="22" t="str">
        <f t="shared" si="5"/>
        <v>-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1" t="s">
        <v>129</v>
      </c>
      <c r="C35" s="22"/>
      <c r="D35" s="22" t="str">
        <f t="shared" si="1"/>
        <v>-</v>
      </c>
      <c r="E35" s="21" t="s">
        <v>130</v>
      </c>
      <c r="F35" s="22"/>
      <c r="G35" s="22" t="str">
        <f t="shared" si="6"/>
        <v>-</v>
      </c>
      <c r="H35" s="21" t="s">
        <v>131</v>
      </c>
      <c r="I35" s="22"/>
      <c r="J35" s="22" t="str">
        <f t="shared" si="8"/>
        <v>-</v>
      </c>
      <c r="K35" s="21" t="s">
        <v>132</v>
      </c>
      <c r="L35" s="22"/>
      <c r="M35" s="22" t="str">
        <f t="shared" si="7"/>
        <v>-</v>
      </c>
      <c r="N35" s="21" t="s">
        <v>133</v>
      </c>
      <c r="O35" s="22"/>
      <c r="P35" s="22" t="str">
        <f t="shared" si="5"/>
        <v>-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1" t="s">
        <v>134</v>
      </c>
      <c r="C36" s="22"/>
      <c r="D36" s="22" t="str">
        <f t="shared" si="1"/>
        <v>-</v>
      </c>
      <c r="E36" s="21" t="s">
        <v>135</v>
      </c>
      <c r="F36" s="22"/>
      <c r="G36" s="22" t="str">
        <f t="shared" si="6"/>
        <v>-</v>
      </c>
      <c r="H36" s="21" t="s">
        <v>136</v>
      </c>
      <c r="I36" s="22"/>
      <c r="J36" s="22" t="str">
        <f t="shared" si="8"/>
        <v>-</v>
      </c>
      <c r="K36" s="21" t="s">
        <v>137</v>
      </c>
      <c r="L36" s="22"/>
      <c r="M36" s="22" t="str">
        <f t="shared" si="7"/>
        <v>-</v>
      </c>
      <c r="N36" s="21" t="s">
        <v>138</v>
      </c>
      <c r="O36" s="22"/>
      <c r="P36" s="22" t="str">
        <f t="shared" si="5"/>
        <v>-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 t="s">
        <v>139</v>
      </c>
      <c r="C37" s="22"/>
      <c r="D37" s="22" t="str">
        <f t="shared" si="1"/>
        <v>-</v>
      </c>
      <c r="E37" s="21" t="s">
        <v>140</v>
      </c>
      <c r="F37" s="22"/>
      <c r="G37" s="22" t="str">
        <f t="shared" si="6"/>
        <v>-</v>
      </c>
      <c r="H37" s="21" t="s">
        <v>141</v>
      </c>
      <c r="I37" s="22"/>
      <c r="J37" s="22" t="str">
        <f t="shared" si="8"/>
        <v>-</v>
      </c>
      <c r="K37" s="21" t="s">
        <v>142</v>
      </c>
      <c r="L37" s="22"/>
      <c r="M37" s="22" t="str">
        <f t="shared" si="7"/>
        <v>-</v>
      </c>
      <c r="N37" s="21" t="s">
        <v>143</v>
      </c>
      <c r="O37" s="22"/>
      <c r="P37" s="22" t="str">
        <f t="shared" si="5"/>
        <v>-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1" t="s">
        <v>144</v>
      </c>
      <c r="C38" s="22"/>
      <c r="D38" s="22" t="str">
        <f t="shared" si="1"/>
        <v>-</v>
      </c>
      <c r="E38" s="21" t="s">
        <v>145</v>
      </c>
      <c r="F38" s="22"/>
      <c r="G38" s="22" t="str">
        <f t="shared" si="6"/>
        <v>-</v>
      </c>
      <c r="H38" s="21" t="s">
        <v>146</v>
      </c>
      <c r="I38" s="22"/>
      <c r="J38" s="22" t="str">
        <f t="shared" si="8"/>
        <v>-</v>
      </c>
      <c r="K38" s="21" t="s">
        <v>147</v>
      </c>
      <c r="L38" s="22"/>
      <c r="M38" s="22" t="str">
        <f t="shared" si="7"/>
        <v>-</v>
      </c>
      <c r="N38" s="21" t="s">
        <v>148</v>
      </c>
      <c r="O38" s="22"/>
      <c r="P38" s="22" t="str">
        <f t="shared" si="5"/>
        <v>-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149</v>
      </c>
      <c r="C39" s="22"/>
      <c r="D39" s="22" t="str">
        <f t="shared" si="1"/>
        <v>-</v>
      </c>
      <c r="E39" s="21" t="s">
        <v>150</v>
      </c>
      <c r="F39" s="22"/>
      <c r="G39" s="22" t="str">
        <f t="shared" si="6"/>
        <v>-</v>
      </c>
      <c r="H39" s="23" t="s">
        <v>72</v>
      </c>
      <c r="I39" s="16">
        <f>SUM(J29:J38)</f>
        <v>0</v>
      </c>
      <c r="J39" s="18"/>
      <c r="K39" s="21" t="s">
        <v>151</v>
      </c>
      <c r="L39" s="22"/>
      <c r="M39" s="22" t="str">
        <f t="shared" si="7"/>
        <v>-</v>
      </c>
      <c r="N39" s="21" t="s">
        <v>152</v>
      </c>
      <c r="O39" s="22"/>
      <c r="P39" s="22" t="str">
        <f t="shared" si="5"/>
        <v>-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6.25" customHeight="1">
      <c r="A40" s="1"/>
      <c r="B40" s="21" t="s">
        <v>153</v>
      </c>
      <c r="C40" s="22"/>
      <c r="D40" s="22" t="str">
        <f t="shared" si="1"/>
        <v>-</v>
      </c>
      <c r="E40" s="21" t="s">
        <v>154</v>
      </c>
      <c r="F40" s="22"/>
      <c r="G40" s="22" t="str">
        <f t="shared" si="6"/>
        <v>-</v>
      </c>
      <c r="H40" s="24" t="s">
        <v>155</v>
      </c>
      <c r="I40" s="17"/>
      <c r="J40" s="18"/>
      <c r="K40" s="23" t="s">
        <v>72</v>
      </c>
      <c r="L40" s="16">
        <f>SUM(M28:M39)</f>
        <v>0</v>
      </c>
      <c r="M40" s="18"/>
      <c r="N40" s="21" t="s">
        <v>156</v>
      </c>
      <c r="O40" s="22"/>
      <c r="P40" s="22" t="str">
        <f t="shared" si="5"/>
        <v>-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23" t="s">
        <v>72</v>
      </c>
      <c r="C41" s="16">
        <f>SUM(D13:D40)</f>
        <v>1.5</v>
      </c>
      <c r="D41" s="18"/>
      <c r="E41" s="21" t="s">
        <v>157</v>
      </c>
      <c r="F41" s="22"/>
      <c r="G41" s="22" t="str">
        <f t="shared" si="6"/>
        <v>-</v>
      </c>
      <c r="H41" s="21" t="s">
        <v>158</v>
      </c>
      <c r="I41" s="22"/>
      <c r="J41" s="22" t="str">
        <f t="shared" ref="J41:J56" si="9">IF(I41="Sim",1,IF(I41="Não",0,IF(I41="Às vezes",0.5,"-")))</f>
        <v>-</v>
      </c>
      <c r="K41" s="24" t="s">
        <v>159</v>
      </c>
      <c r="L41" s="17"/>
      <c r="M41" s="18"/>
      <c r="N41" s="21" t="s">
        <v>160</v>
      </c>
      <c r="O41" s="22"/>
      <c r="P41" s="22" t="str">
        <f t="shared" si="5"/>
        <v>-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9" t="s">
        <v>161</v>
      </c>
      <c r="C42" s="20" t="s">
        <v>15</v>
      </c>
      <c r="D42" s="20" t="s">
        <v>16</v>
      </c>
      <c r="E42" s="21" t="s">
        <v>162</v>
      </c>
      <c r="F42" s="22"/>
      <c r="G42" s="22" t="str">
        <f t="shared" si="6"/>
        <v>-</v>
      </c>
      <c r="H42" s="21" t="s">
        <v>163</v>
      </c>
      <c r="I42" s="22"/>
      <c r="J42" s="22" t="str">
        <f t="shared" si="9"/>
        <v>-</v>
      </c>
      <c r="K42" s="21" t="s">
        <v>164</v>
      </c>
      <c r="L42" s="22"/>
      <c r="M42" s="22" t="str">
        <f t="shared" ref="M42:M68" si="10">IF(L42="Sim",1,IF(L42="Não",0,IF(L42="Às vezes",0.5,"-")))</f>
        <v>-</v>
      </c>
      <c r="N42" s="21" t="s">
        <v>166</v>
      </c>
      <c r="O42" s="22"/>
      <c r="P42" s="22" t="str">
        <f t="shared" si="5"/>
        <v>-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6.25" customHeight="1">
      <c r="A43" s="1"/>
      <c r="B43" s="21" t="s">
        <v>167</v>
      </c>
      <c r="C43" s="22"/>
      <c r="D43" s="22" t="str">
        <f t="shared" ref="D43:D57" si="11">IF(C43="Sim",1,IF(C43="Não",0,IF(C43="Às vezes",0.5,"-")))</f>
        <v>-</v>
      </c>
      <c r="E43" s="23" t="s">
        <v>72</v>
      </c>
      <c r="F43" s="16">
        <f>SUM(G25:G42)</f>
        <v>0</v>
      </c>
      <c r="G43" s="18"/>
      <c r="H43" s="21" t="s">
        <v>168</v>
      </c>
      <c r="I43" s="22"/>
      <c r="J43" s="22" t="str">
        <f t="shared" si="9"/>
        <v>-</v>
      </c>
      <c r="K43" s="21" t="s">
        <v>169</v>
      </c>
      <c r="L43" s="22"/>
      <c r="M43" s="22" t="str">
        <f t="shared" si="10"/>
        <v>-</v>
      </c>
      <c r="N43" s="21" t="s">
        <v>170</v>
      </c>
      <c r="O43" s="22"/>
      <c r="P43" s="22" t="str">
        <f t="shared" si="5"/>
        <v>-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1" t="s">
        <v>171</v>
      </c>
      <c r="C44" s="22"/>
      <c r="D44" s="22" t="str">
        <f t="shared" si="11"/>
        <v>-</v>
      </c>
      <c r="E44" s="24" t="s">
        <v>172</v>
      </c>
      <c r="F44" s="17"/>
      <c r="G44" s="18"/>
      <c r="H44" s="21" t="s">
        <v>173</v>
      </c>
      <c r="I44" s="22"/>
      <c r="J44" s="22" t="str">
        <f t="shared" si="9"/>
        <v>-</v>
      </c>
      <c r="K44" s="21" t="s">
        <v>174</v>
      </c>
      <c r="L44" s="22"/>
      <c r="M44" s="22" t="str">
        <f t="shared" si="10"/>
        <v>-</v>
      </c>
      <c r="N44" s="21" t="s">
        <v>175</v>
      </c>
      <c r="O44" s="22"/>
      <c r="P44" s="22" t="str">
        <f t="shared" si="5"/>
        <v>-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1" t="s">
        <v>176</v>
      </c>
      <c r="C45" s="22"/>
      <c r="D45" s="22" t="str">
        <f t="shared" si="11"/>
        <v>-</v>
      </c>
      <c r="E45" s="21" t="s">
        <v>177</v>
      </c>
      <c r="F45" s="22"/>
      <c r="G45" s="22" t="str">
        <f t="shared" ref="G45:G74" si="12">IF(F45="Sim",1,IF(F45="Não",0,IF(F45="Às vezes",0.5,"-")))</f>
        <v>-</v>
      </c>
      <c r="H45" s="21" t="s">
        <v>178</v>
      </c>
      <c r="I45" s="22"/>
      <c r="J45" s="22" t="str">
        <f t="shared" si="9"/>
        <v>-</v>
      </c>
      <c r="K45" s="21" t="s">
        <v>179</v>
      </c>
      <c r="L45" s="22"/>
      <c r="M45" s="22" t="str">
        <f t="shared" si="10"/>
        <v>-</v>
      </c>
      <c r="N45" s="21" t="s">
        <v>180</v>
      </c>
      <c r="O45" s="22"/>
      <c r="P45" s="22" t="str">
        <f t="shared" si="5"/>
        <v>-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1" t="s">
        <v>181</v>
      </c>
      <c r="C46" s="22"/>
      <c r="D46" s="22" t="str">
        <f t="shared" si="11"/>
        <v>-</v>
      </c>
      <c r="E46" s="21" t="s">
        <v>182</v>
      </c>
      <c r="F46" s="22"/>
      <c r="G46" s="22" t="str">
        <f t="shared" si="12"/>
        <v>-</v>
      </c>
      <c r="H46" s="21" t="s">
        <v>183</v>
      </c>
      <c r="I46" s="22"/>
      <c r="J46" s="22" t="str">
        <f t="shared" si="9"/>
        <v>-</v>
      </c>
      <c r="K46" s="21" t="s">
        <v>184</v>
      </c>
      <c r="L46" s="22"/>
      <c r="M46" s="22" t="str">
        <f t="shared" si="10"/>
        <v>-</v>
      </c>
      <c r="N46" s="21" t="s">
        <v>185</v>
      </c>
      <c r="O46" s="22"/>
      <c r="P46" s="22" t="str">
        <f t="shared" si="5"/>
        <v>-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1" t="s">
        <v>186</v>
      </c>
      <c r="C47" s="22"/>
      <c r="D47" s="22" t="str">
        <f t="shared" si="11"/>
        <v>-</v>
      </c>
      <c r="E47" s="21" t="s">
        <v>187</v>
      </c>
      <c r="F47" s="22"/>
      <c r="G47" s="22" t="str">
        <f t="shared" si="12"/>
        <v>-</v>
      </c>
      <c r="H47" s="21" t="s">
        <v>188</v>
      </c>
      <c r="I47" s="22"/>
      <c r="J47" s="22" t="str">
        <f t="shared" si="9"/>
        <v>-</v>
      </c>
      <c r="K47" s="21" t="s">
        <v>189</v>
      </c>
      <c r="L47" s="22"/>
      <c r="M47" s="22" t="str">
        <f t="shared" si="10"/>
        <v>-</v>
      </c>
      <c r="N47" s="21" t="s">
        <v>190</v>
      </c>
      <c r="O47" s="22"/>
      <c r="P47" s="22" t="str">
        <f t="shared" si="5"/>
        <v>-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1" t="s">
        <v>191</v>
      </c>
      <c r="C48" s="22"/>
      <c r="D48" s="22" t="str">
        <f t="shared" si="11"/>
        <v>-</v>
      </c>
      <c r="E48" s="21" t="s">
        <v>192</v>
      </c>
      <c r="F48" s="22"/>
      <c r="G48" s="22" t="str">
        <f t="shared" si="12"/>
        <v>-</v>
      </c>
      <c r="H48" s="21" t="s">
        <v>193</v>
      </c>
      <c r="I48" s="22"/>
      <c r="J48" s="22" t="str">
        <f t="shared" si="9"/>
        <v>-</v>
      </c>
      <c r="K48" s="21" t="s">
        <v>194</v>
      </c>
      <c r="L48" s="22"/>
      <c r="M48" s="22" t="str">
        <f t="shared" si="10"/>
        <v>-</v>
      </c>
      <c r="N48" s="21" t="s">
        <v>195</v>
      </c>
      <c r="O48" s="22"/>
      <c r="P48" s="22" t="str">
        <f t="shared" si="5"/>
        <v>-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1" t="s">
        <v>196</v>
      </c>
      <c r="C49" s="22"/>
      <c r="D49" s="22" t="str">
        <f t="shared" si="11"/>
        <v>-</v>
      </c>
      <c r="E49" s="21" t="s">
        <v>197</v>
      </c>
      <c r="F49" s="22"/>
      <c r="G49" s="22" t="str">
        <f t="shared" si="12"/>
        <v>-</v>
      </c>
      <c r="H49" s="21" t="s">
        <v>198</v>
      </c>
      <c r="I49" s="22"/>
      <c r="J49" s="22" t="str">
        <f t="shared" si="9"/>
        <v>-</v>
      </c>
      <c r="K49" s="21" t="s">
        <v>199</v>
      </c>
      <c r="L49" s="22"/>
      <c r="M49" s="22" t="str">
        <f t="shared" si="10"/>
        <v>-</v>
      </c>
      <c r="N49" s="21" t="s">
        <v>200</v>
      </c>
      <c r="O49" s="22"/>
      <c r="P49" s="22" t="str">
        <f t="shared" si="5"/>
        <v>-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1" t="s">
        <v>201</v>
      </c>
      <c r="C50" s="22"/>
      <c r="D50" s="22" t="str">
        <f t="shared" si="11"/>
        <v>-</v>
      </c>
      <c r="E50" s="21" t="s">
        <v>202</v>
      </c>
      <c r="F50" s="22"/>
      <c r="G50" s="22" t="str">
        <f t="shared" si="12"/>
        <v>-</v>
      </c>
      <c r="H50" s="21" t="s">
        <v>203</v>
      </c>
      <c r="I50" s="22"/>
      <c r="J50" s="22" t="str">
        <f t="shared" si="9"/>
        <v>-</v>
      </c>
      <c r="K50" s="21" t="s">
        <v>204</v>
      </c>
      <c r="L50" s="22"/>
      <c r="M50" s="22" t="str">
        <f t="shared" si="10"/>
        <v>-</v>
      </c>
      <c r="N50" s="21" t="s">
        <v>206</v>
      </c>
      <c r="O50" s="22"/>
      <c r="P50" s="22" t="str">
        <f t="shared" si="5"/>
        <v>-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1" t="s">
        <v>207</v>
      </c>
      <c r="C51" s="22"/>
      <c r="D51" s="22" t="str">
        <f t="shared" si="11"/>
        <v>-</v>
      </c>
      <c r="E51" s="21" t="s">
        <v>208</v>
      </c>
      <c r="F51" s="22"/>
      <c r="G51" s="22" t="str">
        <f t="shared" si="12"/>
        <v>-</v>
      </c>
      <c r="H51" s="21" t="s">
        <v>209</v>
      </c>
      <c r="I51" s="22"/>
      <c r="J51" s="22" t="str">
        <f t="shared" si="9"/>
        <v>-</v>
      </c>
      <c r="K51" s="21" t="s">
        <v>210</v>
      </c>
      <c r="L51" s="22"/>
      <c r="M51" s="22" t="str">
        <f t="shared" si="10"/>
        <v>-</v>
      </c>
      <c r="N51" s="21" t="s">
        <v>211</v>
      </c>
      <c r="O51" s="22"/>
      <c r="P51" s="22" t="str">
        <f t="shared" si="5"/>
        <v>-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1" t="s">
        <v>212</v>
      </c>
      <c r="C52" s="22"/>
      <c r="D52" s="22" t="str">
        <f t="shared" si="11"/>
        <v>-</v>
      </c>
      <c r="E52" s="21" t="s">
        <v>213</v>
      </c>
      <c r="F52" s="22"/>
      <c r="G52" s="22" t="str">
        <f t="shared" si="12"/>
        <v>-</v>
      </c>
      <c r="H52" s="21" t="s">
        <v>214</v>
      </c>
      <c r="I52" s="22"/>
      <c r="J52" s="22" t="str">
        <f t="shared" si="9"/>
        <v>-</v>
      </c>
      <c r="K52" s="21" t="s">
        <v>215</v>
      </c>
      <c r="L52" s="22"/>
      <c r="M52" s="22" t="str">
        <f t="shared" si="10"/>
        <v>-</v>
      </c>
      <c r="N52" s="21" t="s">
        <v>216</v>
      </c>
      <c r="O52" s="22"/>
      <c r="P52" s="22" t="str">
        <f t="shared" si="5"/>
        <v>-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1" t="s">
        <v>217</v>
      </c>
      <c r="C53" s="22"/>
      <c r="D53" s="22" t="str">
        <f t="shared" si="11"/>
        <v>-</v>
      </c>
      <c r="E53" s="21" t="s">
        <v>218</v>
      </c>
      <c r="F53" s="22"/>
      <c r="G53" s="22" t="str">
        <f t="shared" si="12"/>
        <v>-</v>
      </c>
      <c r="H53" s="21" t="s">
        <v>219</v>
      </c>
      <c r="I53" s="22"/>
      <c r="J53" s="22" t="str">
        <f t="shared" si="9"/>
        <v>-</v>
      </c>
      <c r="K53" s="21" t="s">
        <v>220</v>
      </c>
      <c r="L53" s="22"/>
      <c r="M53" s="22" t="str">
        <f t="shared" si="10"/>
        <v>-</v>
      </c>
      <c r="N53" s="21" t="s">
        <v>221</v>
      </c>
      <c r="O53" s="22"/>
      <c r="P53" s="22" t="str">
        <f t="shared" si="5"/>
        <v>-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1" t="s">
        <v>222</v>
      </c>
      <c r="C54" s="22"/>
      <c r="D54" s="22" t="str">
        <f t="shared" si="11"/>
        <v>-</v>
      </c>
      <c r="E54" s="21" t="s">
        <v>223</v>
      </c>
      <c r="F54" s="22"/>
      <c r="G54" s="22" t="str">
        <f t="shared" si="12"/>
        <v>-</v>
      </c>
      <c r="H54" s="21" t="s">
        <v>224</v>
      </c>
      <c r="I54" s="22"/>
      <c r="J54" s="22" t="str">
        <f t="shared" si="9"/>
        <v>-</v>
      </c>
      <c r="K54" s="21" t="s">
        <v>225</v>
      </c>
      <c r="L54" s="22"/>
      <c r="M54" s="22" t="str">
        <f t="shared" si="10"/>
        <v>-</v>
      </c>
      <c r="N54" s="21" t="s">
        <v>226</v>
      </c>
      <c r="O54" s="22"/>
      <c r="P54" s="22" t="str">
        <f t="shared" si="5"/>
        <v>-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1" t="s">
        <v>227</v>
      </c>
      <c r="C55" s="22"/>
      <c r="D55" s="22" t="str">
        <f t="shared" si="11"/>
        <v>-</v>
      </c>
      <c r="E55" s="21" t="s">
        <v>228</v>
      </c>
      <c r="F55" s="22"/>
      <c r="G55" s="22" t="str">
        <f t="shared" si="12"/>
        <v>-</v>
      </c>
      <c r="H55" s="21" t="s">
        <v>229</v>
      </c>
      <c r="I55" s="22"/>
      <c r="J55" s="22" t="str">
        <f t="shared" si="9"/>
        <v>-</v>
      </c>
      <c r="K55" s="21" t="s">
        <v>230</v>
      </c>
      <c r="L55" s="22"/>
      <c r="M55" s="22" t="str">
        <f t="shared" si="10"/>
        <v>-</v>
      </c>
      <c r="N55" s="21" t="s">
        <v>231</v>
      </c>
      <c r="O55" s="22"/>
      <c r="P55" s="22" t="str">
        <f t="shared" si="5"/>
        <v>-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1" t="s">
        <v>232</v>
      </c>
      <c r="C56" s="22"/>
      <c r="D56" s="22" t="str">
        <f t="shared" si="11"/>
        <v>-</v>
      </c>
      <c r="E56" s="21" t="s">
        <v>233</v>
      </c>
      <c r="F56" s="22"/>
      <c r="G56" s="22" t="str">
        <f t="shared" si="12"/>
        <v>-</v>
      </c>
      <c r="H56" s="21" t="s">
        <v>234</v>
      </c>
      <c r="I56" s="22"/>
      <c r="J56" s="22" t="str">
        <f t="shared" si="9"/>
        <v>-</v>
      </c>
      <c r="K56" s="21" t="s">
        <v>235</v>
      </c>
      <c r="L56" s="22"/>
      <c r="M56" s="22" t="str">
        <f t="shared" si="10"/>
        <v>-</v>
      </c>
      <c r="N56" s="21" t="s">
        <v>236</v>
      </c>
      <c r="O56" s="22"/>
      <c r="P56" s="22" t="str">
        <f t="shared" si="5"/>
        <v>-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6.25" customHeight="1">
      <c r="A57" s="1"/>
      <c r="B57" s="21" t="s">
        <v>237</v>
      </c>
      <c r="C57" s="22"/>
      <c r="D57" s="22" t="str">
        <f t="shared" si="11"/>
        <v>-</v>
      </c>
      <c r="E57" s="21" t="s">
        <v>238</v>
      </c>
      <c r="F57" s="22"/>
      <c r="G57" s="22" t="str">
        <f t="shared" si="12"/>
        <v>-</v>
      </c>
      <c r="H57" s="23" t="s">
        <v>72</v>
      </c>
      <c r="I57" s="16">
        <f>SUM(J41:J56)</f>
        <v>0</v>
      </c>
      <c r="J57" s="18"/>
      <c r="K57" s="21" t="s">
        <v>239</v>
      </c>
      <c r="L57" s="22"/>
      <c r="M57" s="22" t="str">
        <f t="shared" si="10"/>
        <v>-</v>
      </c>
      <c r="N57" s="21" t="s">
        <v>240</v>
      </c>
      <c r="O57" s="22"/>
      <c r="P57" s="22" t="str">
        <f t="shared" si="5"/>
        <v>-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1"/>
      <c r="B58" s="23" t="s">
        <v>72</v>
      </c>
      <c r="C58" s="16">
        <f>SUM(D43:D57)</f>
        <v>0</v>
      </c>
      <c r="D58" s="18"/>
      <c r="E58" s="21" t="s">
        <v>241</v>
      </c>
      <c r="F58" s="22"/>
      <c r="G58" s="22" t="str">
        <f t="shared" si="12"/>
        <v>-</v>
      </c>
      <c r="H58" s="24" t="s">
        <v>242</v>
      </c>
      <c r="I58" s="17"/>
      <c r="J58" s="18"/>
      <c r="K58" s="21" t="s">
        <v>243</v>
      </c>
      <c r="L58" s="22"/>
      <c r="M58" s="22" t="str">
        <f t="shared" si="10"/>
        <v>-</v>
      </c>
      <c r="N58" s="23" t="s">
        <v>72</v>
      </c>
      <c r="O58" s="16">
        <f>SUM(P13:P57)</f>
        <v>0</v>
      </c>
      <c r="P58" s="18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9.25" customHeight="1">
      <c r="A59" s="1"/>
      <c r="B59" s="19" t="s">
        <v>244</v>
      </c>
      <c r="C59" s="20" t="s">
        <v>15</v>
      </c>
      <c r="D59" s="20" t="s">
        <v>16</v>
      </c>
      <c r="E59" s="21" t="s">
        <v>245</v>
      </c>
      <c r="F59" s="22"/>
      <c r="G59" s="22" t="str">
        <f t="shared" si="12"/>
        <v>-</v>
      </c>
      <c r="H59" s="21" t="s">
        <v>246</v>
      </c>
      <c r="I59" s="22"/>
      <c r="J59" s="22" t="str">
        <f t="shared" ref="J59:J82" si="13">IF(I59="Sim",1,IF(I59="Não",0,IF(I59="Às vezes",0.5,"-")))</f>
        <v>-</v>
      </c>
      <c r="K59" s="21" t="s">
        <v>247</v>
      </c>
      <c r="L59" s="22"/>
      <c r="M59" s="22" t="str">
        <f t="shared" si="10"/>
        <v>-</v>
      </c>
      <c r="N59" s="24" t="s">
        <v>248</v>
      </c>
      <c r="O59" s="17"/>
      <c r="P59" s="1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1" t="s">
        <v>249</v>
      </c>
      <c r="C60" s="22"/>
      <c r="D60" s="22" t="str">
        <f t="shared" ref="D60:D67" si="14">IF(C60="Sim",1,IF(C60="Não",0,IF(C60="Às vezes",0.5,"-")))</f>
        <v>-</v>
      </c>
      <c r="E60" s="21" t="s">
        <v>250</v>
      </c>
      <c r="F60" s="22"/>
      <c r="G60" s="22" t="str">
        <f t="shared" si="12"/>
        <v>-</v>
      </c>
      <c r="H60" s="21" t="s">
        <v>251</v>
      </c>
      <c r="I60" s="22"/>
      <c r="J60" s="22" t="str">
        <f t="shared" si="13"/>
        <v>-</v>
      </c>
      <c r="K60" s="21" t="s">
        <v>252</v>
      </c>
      <c r="L60" s="22"/>
      <c r="M60" s="22" t="str">
        <f t="shared" si="10"/>
        <v>-</v>
      </c>
      <c r="N60" s="21" t="s">
        <v>253</v>
      </c>
      <c r="O60" s="22"/>
      <c r="P60" s="22" t="str">
        <f t="shared" ref="P60:P77" si="15">IF(O60="Sim",1,IF(O60="Não",0,IF(O60="Às vezes",0.5,"-")))</f>
        <v>-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1" t="s">
        <v>254</v>
      </c>
      <c r="C61" s="22"/>
      <c r="D61" s="22" t="str">
        <f t="shared" si="14"/>
        <v>-</v>
      </c>
      <c r="E61" s="21" t="s">
        <v>255</v>
      </c>
      <c r="F61" s="22"/>
      <c r="G61" s="22" t="str">
        <f t="shared" si="12"/>
        <v>-</v>
      </c>
      <c r="H61" s="21" t="s">
        <v>256</v>
      </c>
      <c r="I61" s="22"/>
      <c r="J61" s="22" t="str">
        <f t="shared" si="13"/>
        <v>-</v>
      </c>
      <c r="K61" s="21" t="s">
        <v>257</v>
      </c>
      <c r="L61" s="22"/>
      <c r="M61" s="22" t="str">
        <f t="shared" si="10"/>
        <v>-</v>
      </c>
      <c r="N61" s="21" t="s">
        <v>258</v>
      </c>
      <c r="O61" s="22"/>
      <c r="P61" s="22" t="str">
        <f t="shared" si="15"/>
        <v>-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1" t="s">
        <v>259</v>
      </c>
      <c r="C62" s="22"/>
      <c r="D62" s="22" t="str">
        <f t="shared" si="14"/>
        <v>-</v>
      </c>
      <c r="E62" s="21" t="s">
        <v>260</v>
      </c>
      <c r="F62" s="22"/>
      <c r="G62" s="22" t="str">
        <f t="shared" si="12"/>
        <v>-</v>
      </c>
      <c r="H62" s="21" t="s">
        <v>261</v>
      </c>
      <c r="I62" s="22"/>
      <c r="J62" s="22" t="str">
        <f t="shared" si="13"/>
        <v>-</v>
      </c>
      <c r="K62" s="21" t="s">
        <v>262</v>
      </c>
      <c r="L62" s="22"/>
      <c r="M62" s="22" t="str">
        <f t="shared" si="10"/>
        <v>-</v>
      </c>
      <c r="N62" s="21" t="s">
        <v>263</v>
      </c>
      <c r="O62" s="22"/>
      <c r="P62" s="22" t="str">
        <f t="shared" si="15"/>
        <v>-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1" t="s">
        <v>264</v>
      </c>
      <c r="C63" s="22"/>
      <c r="D63" s="22" t="str">
        <f t="shared" si="14"/>
        <v>-</v>
      </c>
      <c r="E63" s="21" t="s">
        <v>265</v>
      </c>
      <c r="F63" s="22"/>
      <c r="G63" s="22" t="str">
        <f t="shared" si="12"/>
        <v>-</v>
      </c>
      <c r="H63" s="21" t="s">
        <v>266</v>
      </c>
      <c r="I63" s="22"/>
      <c r="J63" s="22" t="str">
        <f t="shared" si="13"/>
        <v>-</v>
      </c>
      <c r="K63" s="21" t="s">
        <v>267</v>
      </c>
      <c r="L63" s="22"/>
      <c r="M63" s="22" t="str">
        <f t="shared" si="10"/>
        <v>-</v>
      </c>
      <c r="N63" s="21" t="s">
        <v>268</v>
      </c>
      <c r="O63" s="22"/>
      <c r="P63" s="22" t="str">
        <f t="shared" si="15"/>
        <v>-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1" t="s">
        <v>269</v>
      </c>
      <c r="C64" s="22"/>
      <c r="D64" s="22" t="str">
        <f t="shared" si="14"/>
        <v>-</v>
      </c>
      <c r="E64" s="21" t="s">
        <v>270</v>
      </c>
      <c r="F64" s="22"/>
      <c r="G64" s="22" t="str">
        <f t="shared" si="12"/>
        <v>-</v>
      </c>
      <c r="H64" s="21" t="s">
        <v>271</v>
      </c>
      <c r="I64" s="22"/>
      <c r="J64" s="22" t="str">
        <f t="shared" si="13"/>
        <v>-</v>
      </c>
      <c r="K64" s="21" t="s">
        <v>272</v>
      </c>
      <c r="L64" s="22"/>
      <c r="M64" s="22" t="str">
        <f t="shared" si="10"/>
        <v>-</v>
      </c>
      <c r="N64" s="21" t="s">
        <v>273</v>
      </c>
      <c r="O64" s="22"/>
      <c r="P64" s="22" t="str">
        <f t="shared" si="15"/>
        <v>-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1" t="s">
        <v>274</v>
      </c>
      <c r="C65" s="22"/>
      <c r="D65" s="22" t="str">
        <f t="shared" si="14"/>
        <v>-</v>
      </c>
      <c r="E65" s="21" t="s">
        <v>275</v>
      </c>
      <c r="F65" s="22"/>
      <c r="G65" s="22" t="str">
        <f t="shared" si="12"/>
        <v>-</v>
      </c>
      <c r="H65" s="21" t="s">
        <v>276</v>
      </c>
      <c r="I65" s="22"/>
      <c r="J65" s="22" t="str">
        <f t="shared" si="13"/>
        <v>-</v>
      </c>
      <c r="K65" s="21" t="s">
        <v>277</v>
      </c>
      <c r="L65" s="22"/>
      <c r="M65" s="22" t="str">
        <f t="shared" si="10"/>
        <v>-</v>
      </c>
      <c r="N65" s="21" t="s">
        <v>278</v>
      </c>
      <c r="O65" s="22"/>
      <c r="P65" s="22" t="str">
        <f t="shared" si="15"/>
        <v>-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1" t="s">
        <v>279</v>
      </c>
      <c r="C66" s="22"/>
      <c r="D66" s="22" t="str">
        <f t="shared" si="14"/>
        <v>-</v>
      </c>
      <c r="E66" s="21" t="s">
        <v>280</v>
      </c>
      <c r="F66" s="22"/>
      <c r="G66" s="22" t="str">
        <f t="shared" si="12"/>
        <v>-</v>
      </c>
      <c r="H66" s="21" t="s">
        <v>281</v>
      </c>
      <c r="I66" s="22"/>
      <c r="J66" s="22" t="str">
        <f t="shared" si="13"/>
        <v>-</v>
      </c>
      <c r="K66" s="21" t="s">
        <v>282</v>
      </c>
      <c r="L66" s="22"/>
      <c r="M66" s="22" t="str">
        <f t="shared" si="10"/>
        <v>-</v>
      </c>
      <c r="N66" s="21" t="s">
        <v>283</v>
      </c>
      <c r="O66" s="22"/>
      <c r="P66" s="22" t="str">
        <f t="shared" si="15"/>
        <v>-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3.25" customHeight="1">
      <c r="A67" s="1"/>
      <c r="B67" s="21" t="s">
        <v>284</v>
      </c>
      <c r="C67" s="22"/>
      <c r="D67" s="22" t="str">
        <f t="shared" si="14"/>
        <v>-</v>
      </c>
      <c r="E67" s="21" t="s">
        <v>285</v>
      </c>
      <c r="F67" s="22"/>
      <c r="G67" s="22" t="str">
        <f t="shared" si="12"/>
        <v>-</v>
      </c>
      <c r="H67" s="21" t="s">
        <v>286</v>
      </c>
      <c r="I67" s="22"/>
      <c r="J67" s="22" t="str">
        <f t="shared" si="13"/>
        <v>-</v>
      </c>
      <c r="K67" s="21" t="s">
        <v>287</v>
      </c>
      <c r="L67" s="22"/>
      <c r="M67" s="22" t="str">
        <f t="shared" si="10"/>
        <v>-</v>
      </c>
      <c r="N67" s="21" t="s">
        <v>288</v>
      </c>
      <c r="O67" s="22"/>
      <c r="P67" s="22" t="str">
        <f t="shared" si="15"/>
        <v>-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23" t="s">
        <v>72</v>
      </c>
      <c r="C68" s="16">
        <f>SUM(D60:D67)</f>
        <v>0</v>
      </c>
      <c r="D68" s="18"/>
      <c r="E68" s="21" t="s">
        <v>289</v>
      </c>
      <c r="F68" s="22"/>
      <c r="G68" s="22" t="str">
        <f t="shared" si="12"/>
        <v>-</v>
      </c>
      <c r="H68" s="21" t="s">
        <v>290</v>
      </c>
      <c r="I68" s="22"/>
      <c r="J68" s="22" t="str">
        <f t="shared" si="13"/>
        <v>-</v>
      </c>
      <c r="K68" s="21" t="s">
        <v>291</v>
      </c>
      <c r="L68" s="22"/>
      <c r="M68" s="22" t="str">
        <f t="shared" si="10"/>
        <v>-</v>
      </c>
      <c r="N68" s="21" t="s">
        <v>292</v>
      </c>
      <c r="O68" s="22"/>
      <c r="P68" s="22" t="str">
        <f t="shared" si="15"/>
        <v>-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24" t="s">
        <v>293</v>
      </c>
      <c r="C69" s="17"/>
      <c r="D69" s="18"/>
      <c r="E69" s="21" t="s">
        <v>294</v>
      </c>
      <c r="F69" s="22"/>
      <c r="G69" s="22" t="str">
        <f t="shared" si="12"/>
        <v>-</v>
      </c>
      <c r="H69" s="21" t="s">
        <v>295</v>
      </c>
      <c r="I69" s="22"/>
      <c r="J69" s="22" t="str">
        <f t="shared" si="13"/>
        <v>-</v>
      </c>
      <c r="K69" s="23" t="s">
        <v>72</v>
      </c>
      <c r="L69" s="16">
        <f>SUM(M42:M68)</f>
        <v>0</v>
      </c>
      <c r="M69" s="18"/>
      <c r="N69" s="21" t="s">
        <v>296</v>
      </c>
      <c r="O69" s="22"/>
      <c r="P69" s="22" t="str">
        <f t="shared" si="15"/>
        <v>-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21" t="s">
        <v>297</v>
      </c>
      <c r="C70" s="22"/>
      <c r="D70" s="22" t="str">
        <f t="shared" ref="D70:D81" si="16">IF(C70="Sim",1,IF(C70="Não",0,IF(C70="Às vezes",0.5,"-")))</f>
        <v>-</v>
      </c>
      <c r="E70" s="21" t="s">
        <v>298</v>
      </c>
      <c r="F70" s="22"/>
      <c r="G70" s="22" t="str">
        <f t="shared" si="12"/>
        <v>-</v>
      </c>
      <c r="H70" s="21" t="s">
        <v>299</v>
      </c>
      <c r="I70" s="22"/>
      <c r="J70" s="22" t="str">
        <f t="shared" si="13"/>
        <v>-</v>
      </c>
      <c r="K70" s="24" t="s">
        <v>300</v>
      </c>
      <c r="L70" s="17"/>
      <c r="M70" s="18"/>
      <c r="N70" s="21" t="s">
        <v>301</v>
      </c>
      <c r="O70" s="22"/>
      <c r="P70" s="22" t="str">
        <f t="shared" si="15"/>
        <v>-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1" t="s">
        <v>302</v>
      </c>
      <c r="C71" s="22"/>
      <c r="D71" s="22" t="str">
        <f t="shared" si="16"/>
        <v>-</v>
      </c>
      <c r="E71" s="21" t="s">
        <v>303</v>
      </c>
      <c r="F71" s="22"/>
      <c r="G71" s="22" t="str">
        <f t="shared" si="12"/>
        <v>-</v>
      </c>
      <c r="H71" s="21" t="s">
        <v>304</v>
      </c>
      <c r="I71" s="22"/>
      <c r="J71" s="22" t="str">
        <f t="shared" si="13"/>
        <v>-</v>
      </c>
      <c r="K71" s="21" t="s">
        <v>305</v>
      </c>
      <c r="L71" s="22"/>
      <c r="M71" s="22" t="str">
        <f t="shared" ref="M71:M85" si="17">IF(L71="Sim",1,IF(L71="Não",0,IF(L71="Às vezes",0.5,"-")))</f>
        <v>-</v>
      </c>
      <c r="N71" s="21" t="s">
        <v>306</v>
      </c>
      <c r="O71" s="22"/>
      <c r="P71" s="22" t="str">
        <f t="shared" si="15"/>
        <v>-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1" t="s">
        <v>307</v>
      </c>
      <c r="C72" s="22"/>
      <c r="D72" s="22" t="str">
        <f t="shared" si="16"/>
        <v>-</v>
      </c>
      <c r="E72" s="21" t="s">
        <v>308</v>
      </c>
      <c r="F72" s="22"/>
      <c r="G72" s="22" t="str">
        <f t="shared" si="12"/>
        <v>-</v>
      </c>
      <c r="H72" s="21" t="s">
        <v>309</v>
      </c>
      <c r="I72" s="22"/>
      <c r="J72" s="22" t="str">
        <f t="shared" si="13"/>
        <v>-</v>
      </c>
      <c r="K72" s="21" t="s">
        <v>310</v>
      </c>
      <c r="L72" s="22"/>
      <c r="M72" s="22" t="str">
        <f t="shared" si="17"/>
        <v>-</v>
      </c>
      <c r="N72" s="21" t="s">
        <v>311</v>
      </c>
      <c r="O72" s="22"/>
      <c r="P72" s="22" t="str">
        <f t="shared" si="15"/>
        <v>-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1" t="s">
        <v>312</v>
      </c>
      <c r="C73" s="22"/>
      <c r="D73" s="22" t="str">
        <f t="shared" si="16"/>
        <v>-</v>
      </c>
      <c r="E73" s="21" t="s">
        <v>313</v>
      </c>
      <c r="F73" s="22"/>
      <c r="G73" s="22" t="str">
        <f t="shared" si="12"/>
        <v>-</v>
      </c>
      <c r="H73" s="21" t="s">
        <v>314</v>
      </c>
      <c r="I73" s="22"/>
      <c r="J73" s="22" t="str">
        <f t="shared" si="13"/>
        <v>-</v>
      </c>
      <c r="K73" s="21" t="s">
        <v>315</v>
      </c>
      <c r="L73" s="22"/>
      <c r="M73" s="22" t="str">
        <f t="shared" si="17"/>
        <v>-</v>
      </c>
      <c r="N73" s="21" t="s">
        <v>316</v>
      </c>
      <c r="O73" s="22"/>
      <c r="P73" s="22" t="str">
        <f t="shared" si="15"/>
        <v>-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1" t="s">
        <v>317</v>
      </c>
      <c r="C74" s="22"/>
      <c r="D74" s="22" t="str">
        <f t="shared" si="16"/>
        <v>-</v>
      </c>
      <c r="E74" s="21" t="s">
        <v>318</v>
      </c>
      <c r="F74" s="22"/>
      <c r="G74" s="22" t="str">
        <f t="shared" si="12"/>
        <v>-</v>
      </c>
      <c r="H74" s="21" t="s">
        <v>319</v>
      </c>
      <c r="I74" s="22"/>
      <c r="J74" s="22" t="str">
        <f t="shared" si="13"/>
        <v>-</v>
      </c>
      <c r="K74" s="21" t="s">
        <v>320</v>
      </c>
      <c r="L74" s="22"/>
      <c r="M74" s="22" t="str">
        <f t="shared" si="17"/>
        <v>-</v>
      </c>
      <c r="N74" s="21" t="s">
        <v>321</v>
      </c>
      <c r="O74" s="22"/>
      <c r="P74" s="22" t="str">
        <f t="shared" si="15"/>
        <v>-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1" t="s">
        <v>322</v>
      </c>
      <c r="C75" s="22"/>
      <c r="D75" s="22" t="str">
        <f t="shared" si="16"/>
        <v>-</v>
      </c>
      <c r="E75" s="23" t="s">
        <v>72</v>
      </c>
      <c r="F75" s="16">
        <f>SUM(G45:G74)</f>
        <v>0</v>
      </c>
      <c r="G75" s="18"/>
      <c r="H75" s="21" t="s">
        <v>323</v>
      </c>
      <c r="I75" s="22"/>
      <c r="J75" s="22" t="str">
        <f t="shared" si="13"/>
        <v>-</v>
      </c>
      <c r="K75" s="21" t="s">
        <v>324</v>
      </c>
      <c r="L75" s="22"/>
      <c r="M75" s="22" t="str">
        <f t="shared" si="17"/>
        <v>-</v>
      </c>
      <c r="N75" s="21" t="s">
        <v>325</v>
      </c>
      <c r="O75" s="22"/>
      <c r="P75" s="22" t="str">
        <f t="shared" si="15"/>
        <v>-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1" t="s">
        <v>326</v>
      </c>
      <c r="C76" s="22"/>
      <c r="D76" s="22" t="str">
        <f t="shared" si="16"/>
        <v>-</v>
      </c>
      <c r="E76" s="24" t="s">
        <v>327</v>
      </c>
      <c r="F76" s="17"/>
      <c r="G76" s="18"/>
      <c r="H76" s="21" t="s">
        <v>328</v>
      </c>
      <c r="I76" s="22"/>
      <c r="J76" s="22" t="str">
        <f t="shared" si="13"/>
        <v>-</v>
      </c>
      <c r="K76" s="21" t="s">
        <v>329</v>
      </c>
      <c r="L76" s="22"/>
      <c r="M76" s="22" t="str">
        <f t="shared" si="17"/>
        <v>-</v>
      </c>
      <c r="N76" s="21" t="s">
        <v>330</v>
      </c>
      <c r="O76" s="22"/>
      <c r="P76" s="22" t="str">
        <f t="shared" si="15"/>
        <v>-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1" t="s">
        <v>331</v>
      </c>
      <c r="C77" s="22"/>
      <c r="D77" s="22" t="str">
        <f t="shared" si="16"/>
        <v>-</v>
      </c>
      <c r="E77" s="21" t="s">
        <v>332</v>
      </c>
      <c r="F77" s="22"/>
      <c r="G77" s="22" t="str">
        <f t="shared" ref="G77:G88" si="18">IF(F77="Sim",1,IF(F77="Não",0,IF(F77="Às vezes",0.5,"-")))</f>
        <v>-</v>
      </c>
      <c r="H77" s="21" t="s">
        <v>333</v>
      </c>
      <c r="I77" s="22"/>
      <c r="J77" s="22" t="str">
        <f t="shared" si="13"/>
        <v>-</v>
      </c>
      <c r="K77" s="21" t="s">
        <v>334</v>
      </c>
      <c r="L77" s="22"/>
      <c r="M77" s="22" t="str">
        <f t="shared" si="17"/>
        <v>-</v>
      </c>
      <c r="N77" s="21" t="s">
        <v>335</v>
      </c>
      <c r="O77" s="22"/>
      <c r="P77" s="22" t="str">
        <f t="shared" si="15"/>
        <v>-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21" t="s">
        <v>336</v>
      </c>
      <c r="C78" s="22"/>
      <c r="D78" s="22" t="str">
        <f t="shared" si="16"/>
        <v>-</v>
      </c>
      <c r="E78" s="21" t="s">
        <v>337</v>
      </c>
      <c r="F78" s="22"/>
      <c r="G78" s="22" t="str">
        <f t="shared" si="18"/>
        <v>-</v>
      </c>
      <c r="H78" s="21" t="s">
        <v>338</v>
      </c>
      <c r="I78" s="22"/>
      <c r="J78" s="22" t="str">
        <f t="shared" si="13"/>
        <v>-</v>
      </c>
      <c r="K78" s="21" t="s">
        <v>339</v>
      </c>
      <c r="L78" s="22"/>
      <c r="M78" s="22" t="str">
        <f t="shared" si="17"/>
        <v>-</v>
      </c>
      <c r="N78" s="23" t="s">
        <v>72</v>
      </c>
      <c r="O78" s="16">
        <f>SUM(P60:P77)</f>
        <v>0</v>
      </c>
      <c r="P78" s="1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1" t="s">
        <v>340</v>
      </c>
      <c r="C79" s="22"/>
      <c r="D79" s="22" t="str">
        <f t="shared" si="16"/>
        <v>-</v>
      </c>
      <c r="E79" s="21" t="s">
        <v>341</v>
      </c>
      <c r="F79" s="22"/>
      <c r="G79" s="22" t="str">
        <f t="shared" si="18"/>
        <v>-</v>
      </c>
      <c r="H79" s="21" t="s">
        <v>342</v>
      </c>
      <c r="I79" s="22"/>
      <c r="J79" s="22" t="str">
        <f t="shared" si="13"/>
        <v>-</v>
      </c>
      <c r="K79" s="21" t="s">
        <v>343</v>
      </c>
      <c r="L79" s="22"/>
      <c r="M79" s="22" t="str">
        <f t="shared" si="17"/>
        <v>-</v>
      </c>
      <c r="N79" s="24" t="s">
        <v>344</v>
      </c>
      <c r="O79" s="17"/>
      <c r="P79" s="1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1" t="s">
        <v>345</v>
      </c>
      <c r="C80" s="22"/>
      <c r="D80" s="22" t="str">
        <f t="shared" si="16"/>
        <v>-</v>
      </c>
      <c r="E80" s="21" t="s">
        <v>346</v>
      </c>
      <c r="F80" s="22"/>
      <c r="G80" s="22" t="str">
        <f t="shared" si="18"/>
        <v>-</v>
      </c>
      <c r="H80" s="21" t="s">
        <v>347</v>
      </c>
      <c r="I80" s="22"/>
      <c r="J80" s="22" t="str">
        <f t="shared" si="13"/>
        <v>-</v>
      </c>
      <c r="K80" s="21" t="s">
        <v>348</v>
      </c>
      <c r="L80" s="22"/>
      <c r="M80" s="22" t="str">
        <f t="shared" si="17"/>
        <v>-</v>
      </c>
      <c r="N80" s="21" t="s">
        <v>349</v>
      </c>
      <c r="O80" s="22"/>
      <c r="P80" s="22" t="str">
        <f t="shared" ref="P80:P96" si="19">IF(O80="Sim",1,IF(O80="Não",0,IF(O80="Às vezes",0.5,"-")))</f>
        <v>-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1" t="s">
        <v>350</v>
      </c>
      <c r="C81" s="22"/>
      <c r="D81" s="22" t="str">
        <f t="shared" si="16"/>
        <v>-</v>
      </c>
      <c r="E81" s="21" t="s">
        <v>351</v>
      </c>
      <c r="F81" s="22"/>
      <c r="G81" s="22" t="str">
        <f t="shared" si="18"/>
        <v>-</v>
      </c>
      <c r="H81" s="21" t="s">
        <v>352</v>
      </c>
      <c r="I81" s="22"/>
      <c r="J81" s="22" t="str">
        <f t="shared" si="13"/>
        <v>-</v>
      </c>
      <c r="K81" s="21" t="s">
        <v>353</v>
      </c>
      <c r="L81" s="22"/>
      <c r="M81" s="22" t="str">
        <f t="shared" si="17"/>
        <v>-</v>
      </c>
      <c r="N81" s="21" t="s">
        <v>354</v>
      </c>
      <c r="O81" s="22"/>
      <c r="P81" s="22" t="str">
        <f t="shared" si="19"/>
        <v>-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1.5" customHeight="1">
      <c r="A82" s="1"/>
      <c r="B82" s="23" t="s">
        <v>72</v>
      </c>
      <c r="C82" s="16">
        <f>SUM(D70:D81)</f>
        <v>0</v>
      </c>
      <c r="D82" s="18"/>
      <c r="E82" s="21" t="s">
        <v>355</v>
      </c>
      <c r="F82" s="22"/>
      <c r="G82" s="22" t="str">
        <f t="shared" si="18"/>
        <v>-</v>
      </c>
      <c r="H82" s="21" t="s">
        <v>356</v>
      </c>
      <c r="I82" s="22"/>
      <c r="J82" s="22" t="str">
        <f t="shared" si="13"/>
        <v>-</v>
      </c>
      <c r="K82" s="21" t="s">
        <v>357</v>
      </c>
      <c r="L82" s="22"/>
      <c r="M82" s="22" t="str">
        <f t="shared" si="17"/>
        <v>-</v>
      </c>
      <c r="N82" s="21" t="s">
        <v>358</v>
      </c>
      <c r="O82" s="22"/>
      <c r="P82" s="22" t="str">
        <f t="shared" si="19"/>
        <v>-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24" t="s">
        <v>359</v>
      </c>
      <c r="C83" s="17"/>
      <c r="D83" s="18"/>
      <c r="E83" s="21" t="s">
        <v>360</v>
      </c>
      <c r="F83" s="22"/>
      <c r="G83" s="22" t="str">
        <f t="shared" si="18"/>
        <v>-</v>
      </c>
      <c r="H83" s="23" t="s">
        <v>72</v>
      </c>
      <c r="I83" s="16">
        <f>SUM(J59:J82)</f>
        <v>0</v>
      </c>
      <c r="J83" s="18"/>
      <c r="K83" s="21" t="s">
        <v>361</v>
      </c>
      <c r="L83" s="22"/>
      <c r="M83" s="22" t="str">
        <f t="shared" si="17"/>
        <v>-</v>
      </c>
      <c r="N83" s="21" t="s">
        <v>362</v>
      </c>
      <c r="O83" s="22"/>
      <c r="P83" s="22" t="str">
        <f t="shared" si="19"/>
        <v>-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customHeight="1">
      <c r="A84" s="1"/>
      <c r="B84" s="21" t="s">
        <v>363</v>
      </c>
      <c r="C84" s="22"/>
      <c r="D84" s="22" t="str">
        <f t="shared" ref="D84:D92" si="20">IF(C84="Sim",1,IF(C84="Não",0,IF(C84="Às vezes",0.5,"-")))</f>
        <v>-</v>
      </c>
      <c r="E84" s="21" t="s">
        <v>364</v>
      </c>
      <c r="F84" s="22"/>
      <c r="G84" s="22" t="str">
        <f t="shared" si="18"/>
        <v>-</v>
      </c>
      <c r="H84" s="24" t="s">
        <v>365</v>
      </c>
      <c r="I84" s="17"/>
      <c r="J84" s="18"/>
      <c r="K84" s="21" t="s">
        <v>366</v>
      </c>
      <c r="L84" s="22"/>
      <c r="M84" s="22" t="str">
        <f t="shared" si="17"/>
        <v>-</v>
      </c>
      <c r="N84" s="21" t="s">
        <v>367</v>
      </c>
      <c r="O84" s="22"/>
      <c r="P84" s="22" t="str">
        <f t="shared" si="19"/>
        <v>-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1" t="s">
        <v>368</v>
      </c>
      <c r="C85" s="22"/>
      <c r="D85" s="22" t="str">
        <f t="shared" si="20"/>
        <v>-</v>
      </c>
      <c r="E85" s="21" t="s">
        <v>369</v>
      </c>
      <c r="F85" s="22"/>
      <c r="G85" s="22" t="str">
        <f t="shared" si="18"/>
        <v>-</v>
      </c>
      <c r="H85" s="21" t="s">
        <v>370</v>
      </c>
      <c r="I85" s="22"/>
      <c r="J85" s="22" t="str">
        <f t="shared" ref="J85:J106" si="21">IF(I85="Sim",1,IF(I85="Não",0,IF(I85="Às vezes",0.5,"-")))</f>
        <v>-</v>
      </c>
      <c r="K85" s="21" t="s">
        <v>371</v>
      </c>
      <c r="L85" s="22"/>
      <c r="M85" s="22" t="str">
        <f t="shared" si="17"/>
        <v>-</v>
      </c>
      <c r="N85" s="21" t="s">
        <v>372</v>
      </c>
      <c r="O85" s="22"/>
      <c r="P85" s="22" t="str">
        <f t="shared" si="19"/>
        <v>-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21" t="s">
        <v>373</v>
      </c>
      <c r="C86" s="22"/>
      <c r="D86" s="22" t="str">
        <f t="shared" si="20"/>
        <v>-</v>
      </c>
      <c r="E86" s="21" t="s">
        <v>374</v>
      </c>
      <c r="F86" s="22"/>
      <c r="G86" s="22" t="str">
        <f t="shared" si="18"/>
        <v>-</v>
      </c>
      <c r="H86" s="21" t="s">
        <v>375</v>
      </c>
      <c r="I86" s="22"/>
      <c r="J86" s="22" t="str">
        <f t="shared" si="21"/>
        <v>-</v>
      </c>
      <c r="K86" s="23" t="s">
        <v>72</v>
      </c>
      <c r="L86" s="16">
        <f>SUM(M71:M85)</f>
        <v>0</v>
      </c>
      <c r="M86" s="18"/>
      <c r="N86" s="21" t="s">
        <v>376</v>
      </c>
      <c r="O86" s="22"/>
      <c r="P86" s="22" t="str">
        <f t="shared" si="19"/>
        <v>-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21" t="s">
        <v>377</v>
      </c>
      <c r="C87" s="22"/>
      <c r="D87" s="22" t="str">
        <f t="shared" si="20"/>
        <v>-</v>
      </c>
      <c r="E87" s="21" t="s">
        <v>378</v>
      </c>
      <c r="F87" s="22"/>
      <c r="G87" s="22" t="str">
        <f t="shared" si="18"/>
        <v>-</v>
      </c>
      <c r="H87" s="21" t="s">
        <v>379</v>
      </c>
      <c r="I87" s="22"/>
      <c r="J87" s="22" t="str">
        <f t="shared" si="21"/>
        <v>-</v>
      </c>
      <c r="K87" s="24" t="s">
        <v>380</v>
      </c>
      <c r="L87" s="17"/>
      <c r="M87" s="18"/>
      <c r="N87" s="21" t="s">
        <v>381</v>
      </c>
      <c r="O87" s="22"/>
      <c r="P87" s="22" t="str">
        <f t="shared" si="19"/>
        <v>-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1" t="s">
        <v>382</v>
      </c>
      <c r="C88" s="22"/>
      <c r="D88" s="22" t="str">
        <f t="shared" si="20"/>
        <v>-</v>
      </c>
      <c r="E88" s="21" t="s">
        <v>383</v>
      </c>
      <c r="F88" s="22"/>
      <c r="G88" s="22" t="str">
        <f t="shared" si="18"/>
        <v>-</v>
      </c>
      <c r="H88" s="21" t="s">
        <v>384</v>
      </c>
      <c r="I88" s="22"/>
      <c r="J88" s="22" t="str">
        <f t="shared" si="21"/>
        <v>-</v>
      </c>
      <c r="K88" s="21" t="s">
        <v>385</v>
      </c>
      <c r="L88" s="22"/>
      <c r="M88" s="22" t="str">
        <f t="shared" ref="M88:M110" si="22">IF(L88="Sim",1,IF(L88="Não",0,IF(L88="Às vezes",0.5,"-")))</f>
        <v>-</v>
      </c>
      <c r="N88" s="21" t="s">
        <v>386</v>
      </c>
      <c r="O88" s="22"/>
      <c r="P88" s="22" t="str">
        <f t="shared" si="19"/>
        <v>-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1" t="s">
        <v>387</v>
      </c>
      <c r="C89" s="22"/>
      <c r="D89" s="22" t="str">
        <f t="shared" si="20"/>
        <v>-</v>
      </c>
      <c r="E89" s="23" t="s">
        <v>72</v>
      </c>
      <c r="F89" s="16">
        <f>SUM(G77:G88)</f>
        <v>0</v>
      </c>
      <c r="G89" s="18"/>
      <c r="H89" s="21" t="s">
        <v>388</v>
      </c>
      <c r="I89" s="22"/>
      <c r="J89" s="22" t="str">
        <f t="shared" si="21"/>
        <v>-</v>
      </c>
      <c r="K89" s="21" t="s">
        <v>389</v>
      </c>
      <c r="L89" s="22"/>
      <c r="M89" s="22" t="str">
        <f t="shared" si="22"/>
        <v>-</v>
      </c>
      <c r="N89" s="21" t="s">
        <v>390</v>
      </c>
      <c r="O89" s="22"/>
      <c r="P89" s="22" t="str">
        <f t="shared" si="19"/>
        <v>-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1" t="s">
        <v>391</v>
      </c>
      <c r="C90" s="22"/>
      <c r="D90" s="22" t="str">
        <f t="shared" si="20"/>
        <v>-</v>
      </c>
      <c r="E90" s="24" t="s">
        <v>392</v>
      </c>
      <c r="F90" s="17"/>
      <c r="G90" s="18"/>
      <c r="H90" s="21" t="s">
        <v>393</v>
      </c>
      <c r="I90" s="22"/>
      <c r="J90" s="22" t="str">
        <f t="shared" si="21"/>
        <v>-</v>
      </c>
      <c r="K90" s="21" t="s">
        <v>394</v>
      </c>
      <c r="L90" s="22"/>
      <c r="M90" s="22" t="str">
        <f t="shared" si="22"/>
        <v>-</v>
      </c>
      <c r="N90" s="21" t="s">
        <v>395</v>
      </c>
      <c r="O90" s="22"/>
      <c r="P90" s="22" t="str">
        <f t="shared" si="19"/>
        <v>-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1" t="s">
        <v>396</v>
      </c>
      <c r="C91" s="22"/>
      <c r="D91" s="22" t="str">
        <f t="shared" si="20"/>
        <v>-</v>
      </c>
      <c r="E91" s="21" t="s">
        <v>397</v>
      </c>
      <c r="F91" s="22"/>
      <c r="G91" s="22" t="str">
        <f t="shared" ref="G91:G105" si="23">IF(F91="Sim",1,IF(F91="Não",0,IF(F91="Às vezes",0.5,"-")))</f>
        <v>-</v>
      </c>
      <c r="H91" s="21" t="s">
        <v>398</v>
      </c>
      <c r="I91" s="22"/>
      <c r="J91" s="22" t="str">
        <f t="shared" si="21"/>
        <v>-</v>
      </c>
      <c r="K91" s="21" t="s">
        <v>399</v>
      </c>
      <c r="L91" s="22"/>
      <c r="M91" s="22" t="str">
        <f t="shared" si="22"/>
        <v>-</v>
      </c>
      <c r="N91" s="21" t="s">
        <v>400</v>
      </c>
      <c r="O91" s="22"/>
      <c r="P91" s="22" t="str">
        <f t="shared" si="19"/>
        <v>-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1" t="s">
        <v>401</v>
      </c>
      <c r="C92" s="22"/>
      <c r="D92" s="22" t="str">
        <f t="shared" si="20"/>
        <v>-</v>
      </c>
      <c r="E92" s="21" t="s">
        <v>402</v>
      </c>
      <c r="F92" s="22"/>
      <c r="G92" s="22" t="str">
        <f t="shared" si="23"/>
        <v>-</v>
      </c>
      <c r="H92" s="21" t="s">
        <v>403</v>
      </c>
      <c r="I92" s="22"/>
      <c r="J92" s="22" t="str">
        <f t="shared" si="21"/>
        <v>-</v>
      </c>
      <c r="K92" s="21" t="s">
        <v>404</v>
      </c>
      <c r="L92" s="22"/>
      <c r="M92" s="22" t="str">
        <f t="shared" si="22"/>
        <v>-</v>
      </c>
      <c r="N92" s="21" t="s">
        <v>405</v>
      </c>
      <c r="O92" s="22"/>
      <c r="P92" s="22" t="str">
        <f t="shared" si="19"/>
        <v>-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23" t="s">
        <v>72</v>
      </c>
      <c r="C93" s="16">
        <f>SUM(D84:D92)</f>
        <v>0</v>
      </c>
      <c r="D93" s="18"/>
      <c r="E93" s="21" t="s">
        <v>406</v>
      </c>
      <c r="F93" s="22"/>
      <c r="G93" s="22" t="str">
        <f t="shared" si="23"/>
        <v>-</v>
      </c>
      <c r="H93" s="21" t="s">
        <v>407</v>
      </c>
      <c r="I93" s="22"/>
      <c r="J93" s="22" t="str">
        <f t="shared" si="21"/>
        <v>-</v>
      </c>
      <c r="K93" s="21" t="s">
        <v>408</v>
      </c>
      <c r="L93" s="22"/>
      <c r="M93" s="22" t="str">
        <f t="shared" si="22"/>
        <v>-</v>
      </c>
      <c r="N93" s="21" t="s">
        <v>409</v>
      </c>
      <c r="O93" s="22"/>
      <c r="P93" s="22" t="str">
        <f t="shared" si="19"/>
        <v>-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 t="s">
        <v>410</v>
      </c>
      <c r="C94" s="17"/>
      <c r="D94" s="18"/>
      <c r="E94" s="21" t="s">
        <v>411</v>
      </c>
      <c r="F94" s="22"/>
      <c r="G94" s="22" t="str">
        <f t="shared" si="23"/>
        <v>-</v>
      </c>
      <c r="H94" s="21" t="s">
        <v>412</v>
      </c>
      <c r="I94" s="22"/>
      <c r="J94" s="22" t="str">
        <f t="shared" si="21"/>
        <v>-</v>
      </c>
      <c r="K94" s="21" t="s">
        <v>413</v>
      </c>
      <c r="L94" s="22"/>
      <c r="M94" s="22" t="str">
        <f t="shared" si="22"/>
        <v>-</v>
      </c>
      <c r="N94" s="21" t="s">
        <v>414</v>
      </c>
      <c r="O94" s="22"/>
      <c r="P94" s="22" t="str">
        <f t="shared" si="19"/>
        <v>-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1" t="s">
        <v>415</v>
      </c>
      <c r="C95" s="22"/>
      <c r="D95" s="22" t="str">
        <f t="shared" ref="D95:D105" si="24">IF(C95="Sim",1,IF(C95="Não",0,IF(C95="Às vezes",0.5,"-")))</f>
        <v>-</v>
      </c>
      <c r="E95" s="21" t="s">
        <v>416</v>
      </c>
      <c r="F95" s="22"/>
      <c r="G95" s="22" t="str">
        <f t="shared" si="23"/>
        <v>-</v>
      </c>
      <c r="H95" s="21" t="s">
        <v>417</v>
      </c>
      <c r="I95" s="22"/>
      <c r="J95" s="22" t="str">
        <f t="shared" si="21"/>
        <v>-</v>
      </c>
      <c r="K95" s="21" t="s">
        <v>418</v>
      </c>
      <c r="L95" s="22"/>
      <c r="M95" s="22" t="str">
        <f t="shared" si="22"/>
        <v>-</v>
      </c>
      <c r="N95" s="21" t="s">
        <v>419</v>
      </c>
      <c r="O95" s="22"/>
      <c r="P95" s="22" t="str">
        <f t="shared" si="19"/>
        <v>-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1" t="s">
        <v>420</v>
      </c>
      <c r="C96" s="22"/>
      <c r="D96" s="22" t="str">
        <f t="shared" si="24"/>
        <v>-</v>
      </c>
      <c r="E96" s="21" t="s">
        <v>421</v>
      </c>
      <c r="F96" s="22"/>
      <c r="G96" s="22" t="str">
        <f t="shared" si="23"/>
        <v>-</v>
      </c>
      <c r="H96" s="21" t="s">
        <v>422</v>
      </c>
      <c r="I96" s="22"/>
      <c r="J96" s="22" t="str">
        <f t="shared" si="21"/>
        <v>-</v>
      </c>
      <c r="K96" s="21" t="s">
        <v>423</v>
      </c>
      <c r="L96" s="22"/>
      <c r="M96" s="22" t="str">
        <f t="shared" si="22"/>
        <v>-</v>
      </c>
      <c r="N96" s="21" t="s">
        <v>424</v>
      </c>
      <c r="O96" s="22"/>
      <c r="P96" s="22" t="str">
        <f t="shared" si="19"/>
        <v>-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1" t="s">
        <v>425</v>
      </c>
      <c r="C97" s="22"/>
      <c r="D97" s="22" t="str">
        <f t="shared" si="24"/>
        <v>-</v>
      </c>
      <c r="E97" s="21" t="s">
        <v>426</v>
      </c>
      <c r="F97" s="22"/>
      <c r="G97" s="22" t="str">
        <f t="shared" si="23"/>
        <v>-</v>
      </c>
      <c r="H97" s="21" t="s">
        <v>427</v>
      </c>
      <c r="I97" s="22"/>
      <c r="J97" s="22" t="str">
        <f t="shared" si="21"/>
        <v>-</v>
      </c>
      <c r="K97" s="21" t="s">
        <v>428</v>
      </c>
      <c r="L97" s="22"/>
      <c r="M97" s="22" t="str">
        <f t="shared" si="22"/>
        <v>-</v>
      </c>
      <c r="N97" s="23" t="s">
        <v>72</v>
      </c>
      <c r="O97" s="16">
        <f>SUM(P80:P96)</f>
        <v>0</v>
      </c>
      <c r="P97" s="1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1" t="s">
        <v>429</v>
      </c>
      <c r="C98" s="22"/>
      <c r="D98" s="22" t="str">
        <f t="shared" si="24"/>
        <v>-</v>
      </c>
      <c r="E98" s="21" t="s">
        <v>430</v>
      </c>
      <c r="F98" s="22"/>
      <c r="G98" s="22" t="str">
        <f t="shared" si="23"/>
        <v>-</v>
      </c>
      <c r="H98" s="21" t="s">
        <v>431</v>
      </c>
      <c r="I98" s="22"/>
      <c r="J98" s="22" t="str">
        <f t="shared" si="21"/>
        <v>-</v>
      </c>
      <c r="K98" s="21" t="s">
        <v>432</v>
      </c>
      <c r="L98" s="22"/>
      <c r="M98" s="22" t="str">
        <f t="shared" si="22"/>
        <v>-</v>
      </c>
      <c r="N98" s="24" t="s">
        <v>433</v>
      </c>
      <c r="O98" s="17"/>
      <c r="P98" s="1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1" t="s">
        <v>434</v>
      </c>
      <c r="C99" s="22"/>
      <c r="D99" s="22" t="str">
        <f t="shared" si="24"/>
        <v>-</v>
      </c>
      <c r="E99" s="21" t="s">
        <v>435</v>
      </c>
      <c r="F99" s="22"/>
      <c r="G99" s="22" t="str">
        <f t="shared" si="23"/>
        <v>-</v>
      </c>
      <c r="H99" s="21" t="s">
        <v>436</v>
      </c>
      <c r="I99" s="22"/>
      <c r="J99" s="22" t="str">
        <f t="shared" si="21"/>
        <v>-</v>
      </c>
      <c r="K99" s="21" t="s">
        <v>437</v>
      </c>
      <c r="L99" s="22"/>
      <c r="M99" s="22" t="str">
        <f t="shared" si="22"/>
        <v>-</v>
      </c>
      <c r="N99" s="21" t="s">
        <v>438</v>
      </c>
      <c r="O99" s="22"/>
      <c r="P99" s="22" t="str">
        <f t="shared" ref="P99:P113" si="25">IF(O99="Sim",1,IF(O99="Não",0,IF(O99="Às vezes",0.5,"-")))</f>
        <v>-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1" t="s">
        <v>439</v>
      </c>
      <c r="C100" s="22"/>
      <c r="D100" s="22" t="str">
        <f t="shared" si="24"/>
        <v>-</v>
      </c>
      <c r="E100" s="21" t="s">
        <v>440</v>
      </c>
      <c r="F100" s="22"/>
      <c r="G100" s="22" t="str">
        <f t="shared" si="23"/>
        <v>-</v>
      </c>
      <c r="H100" s="21" t="s">
        <v>441</v>
      </c>
      <c r="I100" s="22"/>
      <c r="J100" s="22" t="str">
        <f t="shared" si="21"/>
        <v>-</v>
      </c>
      <c r="K100" s="21" t="s">
        <v>442</v>
      </c>
      <c r="L100" s="22"/>
      <c r="M100" s="22" t="str">
        <f t="shared" si="22"/>
        <v>-</v>
      </c>
      <c r="N100" s="21" t="s">
        <v>443</v>
      </c>
      <c r="O100" s="22"/>
      <c r="P100" s="22" t="str">
        <f t="shared" si="25"/>
        <v>-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21" t="s">
        <v>444</v>
      </c>
      <c r="C101" s="22"/>
      <c r="D101" s="22" t="str">
        <f t="shared" si="24"/>
        <v>-</v>
      </c>
      <c r="E101" s="21" t="s">
        <v>445</v>
      </c>
      <c r="F101" s="22"/>
      <c r="G101" s="22" t="str">
        <f t="shared" si="23"/>
        <v>-</v>
      </c>
      <c r="H101" s="21" t="s">
        <v>446</v>
      </c>
      <c r="I101" s="22"/>
      <c r="J101" s="22" t="str">
        <f t="shared" si="21"/>
        <v>-</v>
      </c>
      <c r="K101" s="21" t="s">
        <v>447</v>
      </c>
      <c r="L101" s="22"/>
      <c r="M101" s="22" t="str">
        <f t="shared" si="22"/>
        <v>-</v>
      </c>
      <c r="N101" s="21" t="s">
        <v>448</v>
      </c>
      <c r="O101" s="22"/>
      <c r="P101" s="22" t="str">
        <f t="shared" si="25"/>
        <v>-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30.0" customHeight="1">
      <c r="A102" s="1"/>
      <c r="B102" s="21" t="s">
        <v>449</v>
      </c>
      <c r="C102" s="22"/>
      <c r="D102" s="22" t="str">
        <f t="shared" si="24"/>
        <v>-</v>
      </c>
      <c r="E102" s="21" t="s">
        <v>450</v>
      </c>
      <c r="F102" s="22"/>
      <c r="G102" s="22" t="str">
        <f t="shared" si="23"/>
        <v>-</v>
      </c>
      <c r="H102" s="21" t="s">
        <v>451</v>
      </c>
      <c r="I102" s="22"/>
      <c r="J102" s="22" t="str">
        <f t="shared" si="21"/>
        <v>-</v>
      </c>
      <c r="K102" s="21" t="s">
        <v>452</v>
      </c>
      <c r="L102" s="22"/>
      <c r="M102" s="22" t="str">
        <f t="shared" si="22"/>
        <v>-</v>
      </c>
      <c r="N102" s="21" t="s">
        <v>453</v>
      </c>
      <c r="O102" s="22"/>
      <c r="P102" s="22" t="str">
        <f t="shared" si="25"/>
        <v>-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1" t="s">
        <v>454</v>
      </c>
      <c r="C103" s="22"/>
      <c r="D103" s="22" t="str">
        <f t="shared" si="24"/>
        <v>-</v>
      </c>
      <c r="E103" s="21" t="s">
        <v>455</v>
      </c>
      <c r="F103" s="22"/>
      <c r="G103" s="22" t="str">
        <f t="shared" si="23"/>
        <v>-</v>
      </c>
      <c r="H103" s="21" t="s">
        <v>456</v>
      </c>
      <c r="I103" s="22"/>
      <c r="J103" s="22" t="str">
        <f t="shared" si="21"/>
        <v>-</v>
      </c>
      <c r="K103" s="21" t="s">
        <v>457</v>
      </c>
      <c r="L103" s="22"/>
      <c r="M103" s="22" t="str">
        <f t="shared" si="22"/>
        <v>-</v>
      </c>
      <c r="N103" s="21" t="s">
        <v>458</v>
      </c>
      <c r="O103" s="22"/>
      <c r="P103" s="22" t="str">
        <f t="shared" si="25"/>
        <v>-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1" t="s">
        <v>459</v>
      </c>
      <c r="C104" s="22"/>
      <c r="D104" s="22" t="str">
        <f t="shared" si="24"/>
        <v>-</v>
      </c>
      <c r="E104" s="21" t="s">
        <v>460</v>
      </c>
      <c r="F104" s="22"/>
      <c r="G104" s="22" t="str">
        <f t="shared" si="23"/>
        <v>-</v>
      </c>
      <c r="H104" s="21" t="s">
        <v>461</v>
      </c>
      <c r="I104" s="22"/>
      <c r="J104" s="22" t="str">
        <f t="shared" si="21"/>
        <v>-</v>
      </c>
      <c r="K104" s="21" t="s">
        <v>462</v>
      </c>
      <c r="L104" s="22"/>
      <c r="M104" s="22" t="str">
        <f t="shared" si="22"/>
        <v>-</v>
      </c>
      <c r="N104" s="21" t="s">
        <v>463</v>
      </c>
      <c r="O104" s="22"/>
      <c r="P104" s="22" t="str">
        <f t="shared" si="25"/>
        <v>-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5"/>
      <c r="B105" s="21" t="s">
        <v>464</v>
      </c>
      <c r="C105" s="22"/>
      <c r="D105" s="22" t="str">
        <f t="shared" si="24"/>
        <v>-</v>
      </c>
      <c r="E105" s="21" t="s">
        <v>465</v>
      </c>
      <c r="F105" s="22"/>
      <c r="G105" s="22" t="str">
        <f t="shared" si="23"/>
        <v>-</v>
      </c>
      <c r="H105" s="21" t="s">
        <v>466</v>
      </c>
      <c r="I105" s="22"/>
      <c r="J105" s="22" t="str">
        <f t="shared" si="21"/>
        <v>-</v>
      </c>
      <c r="K105" s="21" t="s">
        <v>467</v>
      </c>
      <c r="L105" s="22"/>
      <c r="M105" s="22" t="str">
        <f t="shared" si="22"/>
        <v>-</v>
      </c>
      <c r="N105" s="21" t="s">
        <v>468</v>
      </c>
      <c r="O105" s="22"/>
      <c r="P105" s="22" t="str">
        <f t="shared" si="25"/>
        <v>-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"/>
      <c r="B106" s="23" t="s">
        <v>72</v>
      </c>
      <c r="C106" s="16">
        <f>SUM(D95:D105)</f>
        <v>0</v>
      </c>
      <c r="D106" s="18"/>
      <c r="E106" s="23" t="s">
        <v>72</v>
      </c>
      <c r="F106" s="16">
        <f>SUM(G91:G105)</f>
        <v>0</v>
      </c>
      <c r="G106" s="18"/>
      <c r="H106" s="21" t="s">
        <v>469</v>
      </c>
      <c r="I106" s="22"/>
      <c r="J106" s="22" t="str">
        <f t="shared" si="21"/>
        <v>-</v>
      </c>
      <c r="K106" s="21" t="s">
        <v>470</v>
      </c>
      <c r="L106" s="22"/>
      <c r="M106" s="22" t="str">
        <f t="shared" si="22"/>
        <v>-</v>
      </c>
      <c r="N106" s="21" t="s">
        <v>471</v>
      </c>
      <c r="O106" s="22"/>
      <c r="P106" s="22" t="str">
        <f t="shared" si="25"/>
        <v>-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1"/>
      <c r="C107" s="13"/>
      <c r="D107" s="13"/>
      <c r="E107" s="24" t="s">
        <v>472</v>
      </c>
      <c r="F107" s="17"/>
      <c r="G107" s="18"/>
      <c r="H107" s="23" t="s">
        <v>72</v>
      </c>
      <c r="I107" s="16">
        <f>SUM(J85:J106)</f>
        <v>0</v>
      </c>
      <c r="J107" s="18"/>
      <c r="K107" s="21" t="s">
        <v>473</v>
      </c>
      <c r="L107" s="22"/>
      <c r="M107" s="22" t="str">
        <f t="shared" si="22"/>
        <v>-</v>
      </c>
      <c r="N107" s="21" t="s">
        <v>474</v>
      </c>
      <c r="O107" s="22"/>
      <c r="P107" s="22" t="str">
        <f t="shared" si="25"/>
        <v>-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3"/>
      <c r="D108" s="13"/>
      <c r="E108" s="21" t="s">
        <v>475</v>
      </c>
      <c r="F108" s="22"/>
      <c r="G108" s="22" t="str">
        <f t="shared" ref="G108:G121" si="26">IF(F108="Sim",1,IF(F108="Não",0,IF(F108="Às vezes",0.5,"-")))</f>
        <v>-</v>
      </c>
      <c r="H108" s="24" t="s">
        <v>476</v>
      </c>
      <c r="I108" s="17"/>
      <c r="J108" s="18"/>
      <c r="K108" s="21" t="s">
        <v>477</v>
      </c>
      <c r="L108" s="22"/>
      <c r="M108" s="22" t="str">
        <f t="shared" si="22"/>
        <v>-</v>
      </c>
      <c r="N108" s="21" t="s">
        <v>478</v>
      </c>
      <c r="O108" s="22"/>
      <c r="P108" s="22" t="str">
        <f t="shared" si="25"/>
        <v>-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3"/>
      <c r="D109" s="13"/>
      <c r="E109" s="21" t="s">
        <v>479</v>
      </c>
      <c r="F109" s="22"/>
      <c r="G109" s="22" t="str">
        <f t="shared" si="26"/>
        <v>-</v>
      </c>
      <c r="H109" s="21" t="s">
        <v>480</v>
      </c>
      <c r="I109" s="22"/>
      <c r="J109" s="22" t="str">
        <f t="shared" ref="J109:J130" si="27">IF(I109="Sim",1,IF(I109="Não",0,IF(I109="Às vezes",0.5,"-")))</f>
        <v>-</v>
      </c>
      <c r="K109" s="21" t="s">
        <v>481</v>
      </c>
      <c r="L109" s="22"/>
      <c r="M109" s="22" t="str">
        <f t="shared" si="22"/>
        <v>-</v>
      </c>
      <c r="N109" s="21" t="s">
        <v>482</v>
      </c>
      <c r="O109" s="22"/>
      <c r="P109" s="22" t="str">
        <f t="shared" si="25"/>
        <v>-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3"/>
      <c r="D110" s="13"/>
      <c r="E110" s="21" t="s">
        <v>483</v>
      </c>
      <c r="F110" s="22"/>
      <c r="G110" s="22" t="str">
        <f t="shared" si="26"/>
        <v>-</v>
      </c>
      <c r="H110" s="21" t="s">
        <v>484</v>
      </c>
      <c r="I110" s="22"/>
      <c r="J110" s="22" t="str">
        <f t="shared" si="27"/>
        <v>-</v>
      </c>
      <c r="K110" s="21" t="s">
        <v>485</v>
      </c>
      <c r="L110" s="22"/>
      <c r="M110" s="22" t="str">
        <f t="shared" si="22"/>
        <v>-</v>
      </c>
      <c r="N110" s="21" t="s">
        <v>486</v>
      </c>
      <c r="O110" s="22"/>
      <c r="P110" s="22" t="str">
        <f t="shared" si="25"/>
        <v>-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1"/>
      <c r="C111" s="13"/>
      <c r="D111" s="13"/>
      <c r="E111" s="21" t="s">
        <v>487</v>
      </c>
      <c r="F111" s="22"/>
      <c r="G111" s="22" t="str">
        <f t="shared" si="26"/>
        <v>-</v>
      </c>
      <c r="H111" s="21" t="s">
        <v>488</v>
      </c>
      <c r="I111" s="22"/>
      <c r="J111" s="22" t="str">
        <f t="shared" si="27"/>
        <v>-</v>
      </c>
      <c r="K111" s="23" t="s">
        <v>72</v>
      </c>
      <c r="L111" s="16">
        <f>SUM(M88:M110)</f>
        <v>0</v>
      </c>
      <c r="M111" s="18"/>
      <c r="N111" s="21" t="s">
        <v>489</v>
      </c>
      <c r="O111" s="22"/>
      <c r="P111" s="22" t="str">
        <f t="shared" si="25"/>
        <v>-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3"/>
      <c r="D112" s="13"/>
      <c r="E112" s="21" t="s">
        <v>490</v>
      </c>
      <c r="F112" s="22"/>
      <c r="G112" s="22" t="str">
        <f t="shared" si="26"/>
        <v>-</v>
      </c>
      <c r="H112" s="21" t="s">
        <v>491</v>
      </c>
      <c r="I112" s="22"/>
      <c r="J112" s="22" t="str">
        <f t="shared" si="27"/>
        <v>-</v>
      </c>
      <c r="K112" s="24" t="s">
        <v>492</v>
      </c>
      <c r="L112" s="17"/>
      <c r="M112" s="18"/>
      <c r="N112" s="21" t="s">
        <v>493</v>
      </c>
      <c r="O112" s="22"/>
      <c r="P112" s="22" t="str">
        <f t="shared" si="25"/>
        <v>-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3"/>
      <c r="D113" s="13"/>
      <c r="E113" s="21" t="s">
        <v>494</v>
      </c>
      <c r="F113" s="22"/>
      <c r="G113" s="22" t="str">
        <f t="shared" si="26"/>
        <v>-</v>
      </c>
      <c r="H113" s="21" t="s">
        <v>495</v>
      </c>
      <c r="I113" s="22"/>
      <c r="J113" s="22" t="str">
        <f t="shared" si="27"/>
        <v>-</v>
      </c>
      <c r="K113" s="21" t="s">
        <v>496</v>
      </c>
      <c r="L113" s="22"/>
      <c r="M113" s="22" t="str">
        <f t="shared" ref="M113:M127" si="28">IF(L113="Sim",1,IF(L113="Não",0,IF(L113="Às vezes",0.5,"-")))</f>
        <v>-</v>
      </c>
      <c r="N113" s="21" t="s">
        <v>497</v>
      </c>
      <c r="O113" s="22"/>
      <c r="P113" s="22" t="str">
        <f t="shared" si="25"/>
        <v>-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3"/>
      <c r="D114" s="13"/>
      <c r="E114" s="21" t="s">
        <v>498</v>
      </c>
      <c r="F114" s="22"/>
      <c r="G114" s="22" t="str">
        <f t="shared" si="26"/>
        <v>-</v>
      </c>
      <c r="H114" s="21" t="s">
        <v>499</v>
      </c>
      <c r="I114" s="22"/>
      <c r="J114" s="22" t="str">
        <f t="shared" si="27"/>
        <v>-</v>
      </c>
      <c r="K114" s="21" t="s">
        <v>500</v>
      </c>
      <c r="L114" s="22"/>
      <c r="M114" s="22" t="str">
        <f t="shared" si="28"/>
        <v>-</v>
      </c>
      <c r="N114" s="23" t="s">
        <v>72</v>
      </c>
      <c r="O114" s="16">
        <f>SUM(P99:P113)</f>
        <v>0</v>
      </c>
      <c r="P114" s="1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3"/>
      <c r="D115" s="13"/>
      <c r="E115" s="21" t="s">
        <v>501</v>
      </c>
      <c r="F115" s="22"/>
      <c r="G115" s="22" t="str">
        <f t="shared" si="26"/>
        <v>-</v>
      </c>
      <c r="H115" s="21" t="s">
        <v>502</v>
      </c>
      <c r="I115" s="22"/>
      <c r="J115" s="22" t="str">
        <f t="shared" si="27"/>
        <v>-</v>
      </c>
      <c r="K115" s="21" t="s">
        <v>503</v>
      </c>
      <c r="L115" s="22"/>
      <c r="M115" s="22" t="str">
        <f t="shared" si="28"/>
        <v>-</v>
      </c>
      <c r="N115" s="24" t="s">
        <v>504</v>
      </c>
      <c r="O115" s="17"/>
      <c r="P115" s="1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3"/>
      <c r="D116" s="13"/>
      <c r="E116" s="21" t="s">
        <v>505</v>
      </c>
      <c r="F116" s="22"/>
      <c r="G116" s="22" t="str">
        <f t="shared" si="26"/>
        <v>-</v>
      </c>
      <c r="H116" s="21" t="s">
        <v>506</v>
      </c>
      <c r="I116" s="22"/>
      <c r="J116" s="22" t="str">
        <f t="shared" si="27"/>
        <v>-</v>
      </c>
      <c r="K116" s="21" t="s">
        <v>507</v>
      </c>
      <c r="L116" s="22"/>
      <c r="M116" s="22" t="str">
        <f t="shared" si="28"/>
        <v>-</v>
      </c>
      <c r="N116" s="21" t="s">
        <v>508</v>
      </c>
      <c r="O116" s="22"/>
      <c r="P116" s="22" t="str">
        <f t="shared" ref="P116:P131" si="29">IF(O116="Sim",1,IF(O116="Não",0,IF(O116="Às vezes",0.5,"-")))</f>
        <v>-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3"/>
      <c r="D117" s="13"/>
      <c r="E117" s="21" t="s">
        <v>509</v>
      </c>
      <c r="F117" s="22"/>
      <c r="G117" s="22" t="str">
        <f t="shared" si="26"/>
        <v>-</v>
      </c>
      <c r="H117" s="21" t="s">
        <v>510</v>
      </c>
      <c r="I117" s="22"/>
      <c r="J117" s="22" t="str">
        <f t="shared" si="27"/>
        <v>-</v>
      </c>
      <c r="K117" s="21" t="s">
        <v>511</v>
      </c>
      <c r="L117" s="22"/>
      <c r="M117" s="22" t="str">
        <f t="shared" si="28"/>
        <v>-</v>
      </c>
      <c r="N117" s="21" t="s">
        <v>512</v>
      </c>
      <c r="O117" s="22"/>
      <c r="P117" s="22" t="str">
        <f t="shared" si="29"/>
        <v>-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3"/>
      <c r="D118" s="13"/>
      <c r="E118" s="21" t="s">
        <v>513</v>
      </c>
      <c r="F118" s="22"/>
      <c r="G118" s="22" t="str">
        <f t="shared" si="26"/>
        <v>-</v>
      </c>
      <c r="H118" s="21" t="s">
        <v>514</v>
      </c>
      <c r="I118" s="22"/>
      <c r="J118" s="22" t="str">
        <f t="shared" si="27"/>
        <v>-</v>
      </c>
      <c r="K118" s="21" t="s">
        <v>515</v>
      </c>
      <c r="L118" s="22"/>
      <c r="M118" s="22" t="str">
        <f t="shared" si="28"/>
        <v>-</v>
      </c>
      <c r="N118" s="21" t="s">
        <v>516</v>
      </c>
      <c r="O118" s="22"/>
      <c r="P118" s="22" t="str">
        <f t="shared" si="29"/>
        <v>-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3"/>
      <c r="D119" s="13"/>
      <c r="E119" s="21" t="s">
        <v>517</v>
      </c>
      <c r="F119" s="22"/>
      <c r="G119" s="22" t="str">
        <f t="shared" si="26"/>
        <v>-</v>
      </c>
      <c r="H119" s="21" t="s">
        <v>518</v>
      </c>
      <c r="I119" s="22"/>
      <c r="J119" s="22" t="str">
        <f t="shared" si="27"/>
        <v>-</v>
      </c>
      <c r="K119" s="21" t="s">
        <v>519</v>
      </c>
      <c r="L119" s="22"/>
      <c r="M119" s="22" t="str">
        <f t="shared" si="28"/>
        <v>-</v>
      </c>
      <c r="N119" s="21" t="s">
        <v>520</v>
      </c>
      <c r="O119" s="22"/>
      <c r="P119" s="22" t="str">
        <f t="shared" si="29"/>
        <v>-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3"/>
      <c r="D120" s="13"/>
      <c r="E120" s="21" t="s">
        <v>521</v>
      </c>
      <c r="F120" s="22"/>
      <c r="G120" s="22" t="str">
        <f t="shared" si="26"/>
        <v>-</v>
      </c>
      <c r="H120" s="21" t="s">
        <v>522</v>
      </c>
      <c r="I120" s="22"/>
      <c r="J120" s="22" t="str">
        <f t="shared" si="27"/>
        <v>-</v>
      </c>
      <c r="K120" s="21" t="s">
        <v>523</v>
      </c>
      <c r="L120" s="22"/>
      <c r="M120" s="22" t="str">
        <f t="shared" si="28"/>
        <v>-</v>
      </c>
      <c r="N120" s="21" t="s">
        <v>524</v>
      </c>
      <c r="O120" s="22"/>
      <c r="P120" s="22" t="str">
        <f t="shared" si="29"/>
        <v>-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3"/>
      <c r="D121" s="13"/>
      <c r="E121" s="21" t="s">
        <v>525</v>
      </c>
      <c r="F121" s="22"/>
      <c r="G121" s="22" t="str">
        <f t="shared" si="26"/>
        <v>-</v>
      </c>
      <c r="H121" s="21" t="s">
        <v>526</v>
      </c>
      <c r="I121" s="22"/>
      <c r="J121" s="22" t="str">
        <f t="shared" si="27"/>
        <v>-</v>
      </c>
      <c r="K121" s="21" t="s">
        <v>527</v>
      </c>
      <c r="L121" s="22"/>
      <c r="M121" s="22" t="str">
        <f t="shared" si="28"/>
        <v>-</v>
      </c>
      <c r="N121" s="21" t="s">
        <v>528</v>
      </c>
      <c r="O121" s="22"/>
      <c r="P121" s="22" t="str">
        <f t="shared" si="29"/>
        <v>-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3.25" customHeight="1">
      <c r="A122" s="1"/>
      <c r="B122" s="1"/>
      <c r="C122" s="13"/>
      <c r="D122" s="13"/>
      <c r="E122" s="23" t="s">
        <v>72</v>
      </c>
      <c r="F122" s="16">
        <f>SUM(G108:G121)</f>
        <v>0</v>
      </c>
      <c r="G122" s="18"/>
      <c r="H122" s="21" t="s">
        <v>529</v>
      </c>
      <c r="I122" s="22"/>
      <c r="J122" s="22" t="str">
        <f t="shared" si="27"/>
        <v>-</v>
      </c>
      <c r="K122" s="21" t="s">
        <v>530</v>
      </c>
      <c r="L122" s="22"/>
      <c r="M122" s="22" t="str">
        <f t="shared" si="28"/>
        <v>-</v>
      </c>
      <c r="N122" s="21" t="s">
        <v>531</v>
      </c>
      <c r="O122" s="22"/>
      <c r="P122" s="22" t="str">
        <f t="shared" si="29"/>
        <v>-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3"/>
      <c r="D123" s="13"/>
      <c r="E123" s="1"/>
      <c r="F123" s="13"/>
      <c r="G123" s="1"/>
      <c r="H123" s="21" t="s">
        <v>532</v>
      </c>
      <c r="I123" s="22"/>
      <c r="J123" s="22" t="str">
        <f t="shared" si="27"/>
        <v>-</v>
      </c>
      <c r="K123" s="21" t="s">
        <v>533</v>
      </c>
      <c r="L123" s="22"/>
      <c r="M123" s="22" t="str">
        <f t="shared" si="28"/>
        <v>-</v>
      </c>
      <c r="N123" s="21" t="s">
        <v>534</v>
      </c>
      <c r="O123" s="22"/>
      <c r="P123" s="22" t="str">
        <f t="shared" si="29"/>
        <v>-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3"/>
      <c r="D124" s="13"/>
      <c r="E124" s="1"/>
      <c r="F124" s="13"/>
      <c r="G124" s="1"/>
      <c r="H124" s="21" t="s">
        <v>535</v>
      </c>
      <c r="I124" s="22"/>
      <c r="J124" s="22" t="str">
        <f t="shared" si="27"/>
        <v>-</v>
      </c>
      <c r="K124" s="21" t="s">
        <v>536</v>
      </c>
      <c r="L124" s="22"/>
      <c r="M124" s="22" t="str">
        <f t="shared" si="28"/>
        <v>-</v>
      </c>
      <c r="N124" s="21" t="s">
        <v>537</v>
      </c>
      <c r="O124" s="22"/>
      <c r="P124" s="22" t="str">
        <f t="shared" si="29"/>
        <v>-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3"/>
      <c r="D125" s="13"/>
      <c r="E125" s="1"/>
      <c r="F125" s="13"/>
      <c r="G125" s="1"/>
      <c r="H125" s="21" t="s">
        <v>538</v>
      </c>
      <c r="I125" s="22"/>
      <c r="J125" s="22" t="str">
        <f t="shared" si="27"/>
        <v>-</v>
      </c>
      <c r="K125" s="21" t="s">
        <v>539</v>
      </c>
      <c r="L125" s="22"/>
      <c r="M125" s="22" t="str">
        <f t="shared" si="28"/>
        <v>-</v>
      </c>
      <c r="N125" s="21" t="s">
        <v>540</v>
      </c>
      <c r="O125" s="22"/>
      <c r="P125" s="22" t="str">
        <f t="shared" si="29"/>
        <v>-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3"/>
      <c r="D126" s="13"/>
      <c r="E126" s="1"/>
      <c r="F126" s="13"/>
      <c r="G126" s="1"/>
      <c r="H126" s="21" t="s">
        <v>541</v>
      </c>
      <c r="I126" s="22"/>
      <c r="J126" s="22" t="str">
        <f t="shared" si="27"/>
        <v>-</v>
      </c>
      <c r="K126" s="21" t="s">
        <v>542</v>
      </c>
      <c r="L126" s="22"/>
      <c r="M126" s="22" t="str">
        <f t="shared" si="28"/>
        <v>-</v>
      </c>
      <c r="N126" s="21" t="s">
        <v>543</v>
      </c>
      <c r="O126" s="22"/>
      <c r="P126" s="22" t="str">
        <f t="shared" si="29"/>
        <v>-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3"/>
      <c r="D127" s="13"/>
      <c r="E127" s="1"/>
      <c r="F127" s="13"/>
      <c r="G127" s="1"/>
      <c r="H127" s="21" t="s">
        <v>544</v>
      </c>
      <c r="I127" s="22"/>
      <c r="J127" s="22" t="str">
        <f t="shared" si="27"/>
        <v>-</v>
      </c>
      <c r="K127" s="21" t="s">
        <v>545</v>
      </c>
      <c r="L127" s="22"/>
      <c r="M127" s="22" t="str">
        <f t="shared" si="28"/>
        <v>-</v>
      </c>
      <c r="N127" s="21" t="s">
        <v>546</v>
      </c>
      <c r="O127" s="22"/>
      <c r="P127" s="22" t="str">
        <f t="shared" si="29"/>
        <v>-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3"/>
      <c r="D128" s="13"/>
      <c r="E128" s="1"/>
      <c r="F128" s="13"/>
      <c r="G128" s="1"/>
      <c r="H128" s="21" t="s">
        <v>547</v>
      </c>
      <c r="I128" s="22"/>
      <c r="J128" s="22" t="str">
        <f t="shared" si="27"/>
        <v>-</v>
      </c>
      <c r="K128" s="23" t="s">
        <v>72</v>
      </c>
      <c r="L128" s="16">
        <f>SUM(M113:M127)</f>
        <v>0</v>
      </c>
      <c r="M128" s="18"/>
      <c r="N128" s="21" t="s">
        <v>548</v>
      </c>
      <c r="O128" s="22"/>
      <c r="P128" s="22" t="str">
        <f t="shared" si="29"/>
        <v>-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3"/>
      <c r="D129" s="13"/>
      <c r="E129" s="1"/>
      <c r="F129" s="13"/>
      <c r="G129" s="1"/>
      <c r="H129" s="21" t="s">
        <v>549</v>
      </c>
      <c r="I129" s="22"/>
      <c r="J129" s="22" t="str">
        <f t="shared" si="27"/>
        <v>-</v>
      </c>
      <c r="K129" s="1"/>
      <c r="L129" s="1"/>
      <c r="M129" s="1"/>
      <c r="N129" s="21" t="s">
        <v>550</v>
      </c>
      <c r="O129" s="22"/>
      <c r="P129" s="22" t="str">
        <f t="shared" si="29"/>
        <v>-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3"/>
      <c r="D130" s="13"/>
      <c r="E130" s="1"/>
      <c r="F130" s="13"/>
      <c r="G130" s="1"/>
      <c r="H130" s="21" t="s">
        <v>551</v>
      </c>
      <c r="I130" s="22"/>
      <c r="J130" s="22" t="str">
        <f t="shared" si="27"/>
        <v>-</v>
      </c>
      <c r="K130" s="1"/>
      <c r="L130" s="1"/>
      <c r="M130" s="1"/>
      <c r="N130" s="21" t="s">
        <v>552</v>
      </c>
      <c r="O130" s="22"/>
      <c r="P130" s="22" t="str">
        <f t="shared" si="29"/>
        <v>-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13"/>
      <c r="D131" s="13"/>
      <c r="E131" s="1"/>
      <c r="F131" s="13"/>
      <c r="G131" s="1"/>
      <c r="H131" s="23" t="s">
        <v>72</v>
      </c>
      <c r="I131" s="16">
        <f>SUM(J109:J130)</f>
        <v>0</v>
      </c>
      <c r="J131" s="18"/>
      <c r="K131" s="1"/>
      <c r="L131" s="1"/>
      <c r="M131" s="1"/>
      <c r="N131" s="21" t="s">
        <v>553</v>
      </c>
      <c r="O131" s="22"/>
      <c r="P131" s="22" t="str">
        <f t="shared" si="29"/>
        <v>-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1"/>
      <c r="C132" s="13"/>
      <c r="D132" s="13"/>
      <c r="E132" s="1"/>
      <c r="F132" s="13"/>
      <c r="G132" s="1"/>
      <c r="H132" s="1"/>
      <c r="I132" s="1"/>
      <c r="J132" s="1"/>
      <c r="K132" s="1"/>
      <c r="L132" s="1"/>
      <c r="M132" s="1"/>
      <c r="N132" s="23" t="s">
        <v>72</v>
      </c>
      <c r="O132" s="16">
        <f>SUM(P116:P131)</f>
        <v>0</v>
      </c>
      <c r="P132" s="1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3.25" customHeight="1">
      <c r="A133" s="1"/>
      <c r="B133" s="1"/>
      <c r="C133" s="13"/>
      <c r="D133" s="13"/>
      <c r="E133" s="1"/>
      <c r="F133" s="13"/>
      <c r="G133" s="1"/>
      <c r="H133" s="1"/>
      <c r="I133" s="1"/>
      <c r="J133" s="1"/>
      <c r="K133" s="1"/>
      <c r="L133" s="1"/>
      <c r="M133" s="1"/>
      <c r="N133" s="24" t="s">
        <v>554</v>
      </c>
      <c r="O133" s="17"/>
      <c r="P133" s="1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1.5" customHeight="1">
      <c r="A134" s="1"/>
      <c r="B134" s="1"/>
      <c r="C134" s="13"/>
      <c r="D134" s="13"/>
      <c r="E134" s="1"/>
      <c r="F134" s="13"/>
      <c r="G134" s="1"/>
      <c r="H134" s="1"/>
      <c r="I134" s="1"/>
      <c r="J134" s="1"/>
      <c r="K134" s="1"/>
      <c r="L134" s="1"/>
      <c r="M134" s="1"/>
      <c r="N134" s="21" t="s">
        <v>555</v>
      </c>
      <c r="O134" s="22"/>
      <c r="P134" s="22" t="str">
        <f t="shared" ref="P134:P162" si="30">IF(O134="Sim",1,IF(O134="Não",0,IF(O134="Às vezes",0.5,"-")))</f>
        <v>-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3"/>
      <c r="D135" s="13"/>
      <c r="E135" s="1"/>
      <c r="F135" s="13"/>
      <c r="G135" s="1"/>
      <c r="H135" s="1"/>
      <c r="I135" s="1"/>
      <c r="J135" s="1"/>
      <c r="K135" s="1"/>
      <c r="L135" s="1"/>
      <c r="M135" s="1"/>
      <c r="N135" s="21" t="s">
        <v>556</v>
      </c>
      <c r="O135" s="22"/>
      <c r="P135" s="22" t="str">
        <f t="shared" si="30"/>
        <v>-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3"/>
      <c r="D136" s="13"/>
      <c r="E136" s="1"/>
      <c r="F136" s="13"/>
      <c r="G136" s="1"/>
      <c r="H136" s="1"/>
      <c r="I136" s="1"/>
      <c r="J136" s="1"/>
      <c r="K136" s="1"/>
      <c r="L136" s="1"/>
      <c r="M136" s="1"/>
      <c r="N136" s="21" t="s">
        <v>557</v>
      </c>
      <c r="O136" s="22"/>
      <c r="P136" s="22" t="str">
        <f t="shared" si="30"/>
        <v>-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3"/>
      <c r="D137" s="13"/>
      <c r="E137" s="1"/>
      <c r="F137" s="13"/>
      <c r="G137" s="1"/>
      <c r="H137" s="1"/>
      <c r="I137" s="1"/>
      <c r="J137" s="1"/>
      <c r="K137" s="1"/>
      <c r="L137" s="1"/>
      <c r="M137" s="1"/>
      <c r="N137" s="21" t="s">
        <v>558</v>
      </c>
      <c r="O137" s="22"/>
      <c r="P137" s="22" t="str">
        <f t="shared" si="30"/>
        <v>-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3"/>
      <c r="D138" s="13"/>
      <c r="E138" s="1"/>
      <c r="F138" s="13"/>
      <c r="G138" s="1"/>
      <c r="H138" s="1"/>
      <c r="I138" s="1"/>
      <c r="J138" s="1"/>
      <c r="K138" s="1"/>
      <c r="L138" s="1"/>
      <c r="M138" s="1"/>
      <c r="N138" s="21" t="s">
        <v>559</v>
      </c>
      <c r="O138" s="22"/>
      <c r="P138" s="22" t="str">
        <f t="shared" si="30"/>
        <v>-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3"/>
      <c r="D139" s="13"/>
      <c r="E139" s="1"/>
      <c r="F139" s="13"/>
      <c r="G139" s="1"/>
      <c r="H139" s="1"/>
      <c r="I139" s="1"/>
      <c r="J139" s="1"/>
      <c r="K139" s="1"/>
      <c r="L139" s="1"/>
      <c r="M139" s="1"/>
      <c r="N139" s="21" t="s">
        <v>560</v>
      </c>
      <c r="O139" s="22"/>
      <c r="P139" s="22" t="str">
        <f t="shared" si="30"/>
        <v>-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3"/>
      <c r="D140" s="13"/>
      <c r="E140" s="1"/>
      <c r="F140" s="13"/>
      <c r="G140" s="1"/>
      <c r="H140" s="1"/>
      <c r="I140" s="1"/>
      <c r="J140" s="1"/>
      <c r="K140" s="1"/>
      <c r="L140" s="1"/>
      <c r="M140" s="1"/>
      <c r="N140" s="21" t="s">
        <v>561</v>
      </c>
      <c r="O140" s="22"/>
      <c r="P140" s="22" t="str">
        <f t="shared" si="30"/>
        <v>-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3"/>
      <c r="D141" s="13"/>
      <c r="E141" s="1"/>
      <c r="F141" s="13"/>
      <c r="G141" s="1"/>
      <c r="H141" s="1"/>
      <c r="I141" s="1"/>
      <c r="J141" s="1"/>
      <c r="K141" s="1"/>
      <c r="L141" s="1"/>
      <c r="M141" s="1"/>
      <c r="N141" s="21" t="s">
        <v>562</v>
      </c>
      <c r="O141" s="22"/>
      <c r="P141" s="22" t="str">
        <f t="shared" si="30"/>
        <v>-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3"/>
      <c r="D142" s="13"/>
      <c r="E142" s="1"/>
      <c r="F142" s="13"/>
      <c r="G142" s="1"/>
      <c r="H142" s="1"/>
      <c r="I142" s="1"/>
      <c r="J142" s="1"/>
      <c r="K142" s="1"/>
      <c r="L142" s="1"/>
      <c r="M142" s="1"/>
      <c r="N142" s="21" t="s">
        <v>563</v>
      </c>
      <c r="O142" s="22"/>
      <c r="P142" s="22" t="str">
        <f t="shared" si="30"/>
        <v>-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3"/>
      <c r="D143" s="13"/>
      <c r="E143" s="1"/>
      <c r="F143" s="13"/>
      <c r="G143" s="1"/>
      <c r="H143" s="1"/>
      <c r="I143" s="1"/>
      <c r="J143" s="1"/>
      <c r="K143" s="1"/>
      <c r="L143" s="1"/>
      <c r="M143" s="1"/>
      <c r="N143" s="21" t="s">
        <v>564</v>
      </c>
      <c r="O143" s="22"/>
      <c r="P143" s="22" t="str">
        <f t="shared" si="30"/>
        <v>-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3"/>
      <c r="D144" s="13"/>
      <c r="E144" s="1"/>
      <c r="F144" s="13"/>
      <c r="G144" s="1"/>
      <c r="H144" s="1"/>
      <c r="I144" s="1"/>
      <c r="J144" s="1"/>
      <c r="K144" s="1"/>
      <c r="L144" s="1"/>
      <c r="M144" s="1"/>
      <c r="N144" s="21" t="s">
        <v>565</v>
      </c>
      <c r="O144" s="22"/>
      <c r="P144" s="22" t="str">
        <f t="shared" si="30"/>
        <v>-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3"/>
      <c r="D145" s="13"/>
      <c r="E145" s="1"/>
      <c r="F145" s="13"/>
      <c r="G145" s="1"/>
      <c r="H145" s="1"/>
      <c r="I145" s="1"/>
      <c r="J145" s="1"/>
      <c r="K145" s="1"/>
      <c r="L145" s="1"/>
      <c r="M145" s="1"/>
      <c r="N145" s="21" t="s">
        <v>566</v>
      </c>
      <c r="O145" s="22"/>
      <c r="P145" s="22" t="str">
        <f t="shared" si="30"/>
        <v>-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3"/>
      <c r="D146" s="13"/>
      <c r="E146" s="1"/>
      <c r="F146" s="13"/>
      <c r="G146" s="1"/>
      <c r="H146" s="1"/>
      <c r="I146" s="1"/>
      <c r="J146" s="1"/>
      <c r="K146" s="1"/>
      <c r="L146" s="1"/>
      <c r="M146" s="1"/>
      <c r="N146" s="21" t="s">
        <v>567</v>
      </c>
      <c r="O146" s="22"/>
      <c r="P146" s="22" t="str">
        <f t="shared" si="30"/>
        <v>-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3"/>
      <c r="D147" s="13"/>
      <c r="E147" s="1"/>
      <c r="F147" s="13"/>
      <c r="G147" s="1"/>
      <c r="H147" s="1"/>
      <c r="I147" s="1"/>
      <c r="J147" s="1"/>
      <c r="K147" s="1"/>
      <c r="L147" s="1"/>
      <c r="M147" s="1"/>
      <c r="N147" s="21" t="s">
        <v>568</v>
      </c>
      <c r="O147" s="22"/>
      <c r="P147" s="22" t="str">
        <f t="shared" si="30"/>
        <v>-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3"/>
      <c r="D148" s="13"/>
      <c r="E148" s="1"/>
      <c r="F148" s="13"/>
      <c r="G148" s="1"/>
      <c r="H148" s="1"/>
      <c r="I148" s="1"/>
      <c r="J148" s="1"/>
      <c r="K148" s="1"/>
      <c r="L148" s="1"/>
      <c r="M148" s="1"/>
      <c r="N148" s="21" t="s">
        <v>569</v>
      </c>
      <c r="O148" s="22"/>
      <c r="P148" s="22" t="str">
        <f t="shared" si="30"/>
        <v>-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3"/>
      <c r="D149" s="13"/>
      <c r="E149" s="1"/>
      <c r="F149" s="13"/>
      <c r="G149" s="1"/>
      <c r="H149" s="1"/>
      <c r="I149" s="1"/>
      <c r="J149" s="1"/>
      <c r="K149" s="1"/>
      <c r="L149" s="1"/>
      <c r="M149" s="1"/>
      <c r="N149" s="21" t="s">
        <v>570</v>
      </c>
      <c r="O149" s="22"/>
      <c r="P149" s="22" t="str">
        <f t="shared" si="30"/>
        <v>-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3"/>
      <c r="D150" s="13"/>
      <c r="E150" s="1"/>
      <c r="F150" s="13"/>
      <c r="G150" s="1"/>
      <c r="H150" s="1"/>
      <c r="I150" s="1"/>
      <c r="J150" s="1"/>
      <c r="K150" s="1"/>
      <c r="L150" s="1"/>
      <c r="M150" s="1"/>
      <c r="N150" s="21" t="s">
        <v>571</v>
      </c>
      <c r="O150" s="22"/>
      <c r="P150" s="22" t="str">
        <f t="shared" si="30"/>
        <v>-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3"/>
      <c r="D151" s="13"/>
      <c r="E151" s="1"/>
      <c r="F151" s="13"/>
      <c r="G151" s="1"/>
      <c r="H151" s="1"/>
      <c r="I151" s="1"/>
      <c r="J151" s="1"/>
      <c r="K151" s="1"/>
      <c r="L151" s="1"/>
      <c r="M151" s="1"/>
      <c r="N151" s="21" t="s">
        <v>572</v>
      </c>
      <c r="O151" s="22"/>
      <c r="P151" s="22" t="str">
        <f t="shared" si="30"/>
        <v>-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3"/>
      <c r="D152" s="13"/>
      <c r="E152" s="1"/>
      <c r="F152" s="13"/>
      <c r="G152" s="1"/>
      <c r="H152" s="1"/>
      <c r="I152" s="1"/>
      <c r="J152" s="1"/>
      <c r="K152" s="1"/>
      <c r="L152" s="1"/>
      <c r="M152" s="1"/>
      <c r="N152" s="21" t="s">
        <v>573</v>
      </c>
      <c r="O152" s="22"/>
      <c r="P152" s="22" t="str">
        <f t="shared" si="30"/>
        <v>-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3"/>
      <c r="D153" s="13"/>
      <c r="E153" s="1"/>
      <c r="F153" s="13"/>
      <c r="G153" s="1"/>
      <c r="H153" s="1"/>
      <c r="I153" s="1"/>
      <c r="J153" s="1"/>
      <c r="K153" s="1"/>
      <c r="L153" s="1"/>
      <c r="M153" s="1"/>
      <c r="N153" s="21" t="s">
        <v>574</v>
      </c>
      <c r="O153" s="22"/>
      <c r="P153" s="22" t="str">
        <f t="shared" si="30"/>
        <v>-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3"/>
      <c r="D154" s="13"/>
      <c r="E154" s="1"/>
      <c r="F154" s="13"/>
      <c r="G154" s="1"/>
      <c r="H154" s="1"/>
      <c r="I154" s="1"/>
      <c r="J154" s="1"/>
      <c r="K154" s="1"/>
      <c r="L154" s="1"/>
      <c r="M154" s="1"/>
      <c r="N154" s="21" t="s">
        <v>575</v>
      </c>
      <c r="O154" s="22"/>
      <c r="P154" s="22" t="str">
        <f t="shared" si="30"/>
        <v>-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3"/>
      <c r="D155" s="13"/>
      <c r="E155" s="1"/>
      <c r="F155" s="13"/>
      <c r="G155" s="1"/>
      <c r="H155" s="1"/>
      <c r="I155" s="1"/>
      <c r="J155" s="1"/>
      <c r="K155" s="1"/>
      <c r="L155" s="1"/>
      <c r="M155" s="1"/>
      <c r="N155" s="21" t="s">
        <v>576</v>
      </c>
      <c r="O155" s="22"/>
      <c r="P155" s="22" t="str">
        <f t="shared" si="30"/>
        <v>-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3"/>
      <c r="D156" s="13"/>
      <c r="E156" s="1"/>
      <c r="F156" s="13"/>
      <c r="G156" s="1"/>
      <c r="H156" s="1"/>
      <c r="I156" s="1"/>
      <c r="J156" s="1"/>
      <c r="K156" s="1"/>
      <c r="L156" s="1"/>
      <c r="M156" s="1"/>
      <c r="N156" s="21" t="s">
        <v>577</v>
      </c>
      <c r="O156" s="22"/>
      <c r="P156" s="22" t="str">
        <f t="shared" si="30"/>
        <v>-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3"/>
      <c r="D157" s="13"/>
      <c r="E157" s="1"/>
      <c r="F157" s="13"/>
      <c r="G157" s="1"/>
      <c r="H157" s="1"/>
      <c r="I157" s="1"/>
      <c r="J157" s="1"/>
      <c r="K157" s="1"/>
      <c r="L157" s="1"/>
      <c r="M157" s="1"/>
      <c r="N157" s="21" t="s">
        <v>578</v>
      </c>
      <c r="O157" s="22"/>
      <c r="P157" s="22" t="str">
        <f t="shared" si="30"/>
        <v>-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3"/>
      <c r="D158" s="13"/>
      <c r="E158" s="1"/>
      <c r="F158" s="13"/>
      <c r="G158" s="1"/>
      <c r="H158" s="1"/>
      <c r="I158" s="1"/>
      <c r="J158" s="1"/>
      <c r="K158" s="1"/>
      <c r="L158" s="1"/>
      <c r="M158" s="1"/>
      <c r="N158" s="21" t="s">
        <v>579</v>
      </c>
      <c r="O158" s="22"/>
      <c r="P158" s="22" t="str">
        <f t="shared" si="30"/>
        <v>-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3"/>
      <c r="D159" s="13"/>
      <c r="E159" s="1"/>
      <c r="F159" s="13"/>
      <c r="G159" s="1"/>
      <c r="H159" s="1"/>
      <c r="I159" s="1"/>
      <c r="J159" s="1"/>
      <c r="K159" s="1"/>
      <c r="L159" s="1"/>
      <c r="M159" s="1"/>
      <c r="N159" s="21" t="s">
        <v>580</v>
      </c>
      <c r="O159" s="22"/>
      <c r="P159" s="22" t="str">
        <f t="shared" si="30"/>
        <v>-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3"/>
      <c r="D160" s="13"/>
      <c r="E160" s="1"/>
      <c r="F160" s="13"/>
      <c r="G160" s="1"/>
      <c r="H160" s="1"/>
      <c r="I160" s="1"/>
      <c r="J160" s="1"/>
      <c r="K160" s="1"/>
      <c r="L160" s="1"/>
      <c r="M160" s="1"/>
      <c r="N160" s="21" t="s">
        <v>581</v>
      </c>
      <c r="O160" s="22"/>
      <c r="P160" s="22" t="str">
        <f t="shared" si="30"/>
        <v>-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3"/>
      <c r="D161" s="13"/>
      <c r="E161" s="1"/>
      <c r="F161" s="13"/>
      <c r="G161" s="1"/>
      <c r="H161" s="1"/>
      <c r="I161" s="1"/>
      <c r="J161" s="1"/>
      <c r="K161" s="1"/>
      <c r="L161" s="1"/>
      <c r="M161" s="1"/>
      <c r="N161" s="21" t="s">
        <v>582</v>
      </c>
      <c r="O161" s="22"/>
      <c r="P161" s="22" t="str">
        <f t="shared" si="30"/>
        <v>-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6.75" customHeight="1">
      <c r="A162" s="1"/>
      <c r="B162" s="1"/>
      <c r="C162" s="13"/>
      <c r="D162" s="13"/>
      <c r="E162" s="1"/>
      <c r="F162" s="13"/>
      <c r="G162" s="1"/>
      <c r="H162" s="1"/>
      <c r="I162" s="1"/>
      <c r="J162" s="1"/>
      <c r="K162" s="1"/>
      <c r="L162" s="1"/>
      <c r="M162" s="1"/>
      <c r="N162" s="21" t="s">
        <v>583</v>
      </c>
      <c r="O162" s="22"/>
      <c r="P162" s="22" t="str">
        <f t="shared" si="30"/>
        <v>-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1"/>
      <c r="C163" s="13"/>
      <c r="D163" s="13"/>
      <c r="E163" s="1"/>
      <c r="F163" s="13"/>
      <c r="G163" s="1"/>
      <c r="H163" s="1"/>
      <c r="I163" s="1"/>
      <c r="J163" s="1"/>
      <c r="K163" s="1"/>
      <c r="L163" s="1"/>
      <c r="M163" s="1"/>
      <c r="N163" s="23" t="s">
        <v>72</v>
      </c>
      <c r="O163" s="16">
        <f>SUM(P134:P162)</f>
        <v>0</v>
      </c>
      <c r="P163" s="18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3"/>
      <c r="D164" s="13"/>
      <c r="E164" s="1"/>
      <c r="F164" s="1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3"/>
      <c r="D165" s="13"/>
      <c r="E165" s="1"/>
      <c r="F165" s="1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3"/>
      <c r="D166" s="13"/>
      <c r="E166" s="1"/>
      <c r="F166" s="1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3"/>
      <c r="D167" s="13"/>
      <c r="E167" s="1"/>
      <c r="F167" s="1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3"/>
      <c r="D168" s="13"/>
      <c r="E168" s="1"/>
      <c r="F168" s="1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3"/>
      <c r="D169" s="13"/>
      <c r="E169" s="1"/>
      <c r="F169" s="1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3"/>
      <c r="D170" s="13"/>
      <c r="E170" s="1"/>
      <c r="F170" s="1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3"/>
      <c r="D171" s="13"/>
      <c r="E171" s="1"/>
      <c r="F171" s="1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3"/>
      <c r="D172" s="13"/>
      <c r="E172" s="1"/>
      <c r="F172" s="1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3"/>
      <c r="D173" s="13"/>
      <c r="E173" s="1"/>
      <c r="F173" s="1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3"/>
      <c r="D174" s="13"/>
      <c r="E174" s="1"/>
      <c r="F174" s="1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3"/>
      <c r="D175" s="13"/>
      <c r="E175" s="1"/>
      <c r="F175" s="1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3"/>
      <c r="D176" s="13"/>
      <c r="E176" s="1"/>
      <c r="F176" s="1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3"/>
      <c r="D177" s="13"/>
      <c r="E177" s="1"/>
      <c r="F177" s="1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3"/>
      <c r="D178" s="13"/>
      <c r="E178" s="1"/>
      <c r="F178" s="1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3"/>
      <c r="D179" s="13"/>
      <c r="E179" s="1"/>
      <c r="F179" s="1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3"/>
      <c r="D180" s="13"/>
      <c r="E180" s="1"/>
      <c r="F180" s="1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3"/>
      <c r="D181" s="13"/>
      <c r="E181" s="1"/>
      <c r="F181" s="1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3"/>
      <c r="D182" s="13"/>
      <c r="E182" s="1"/>
      <c r="F182" s="1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3"/>
      <c r="D183" s="13"/>
      <c r="E183" s="1"/>
      <c r="F183" s="1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3"/>
      <c r="D184" s="13"/>
      <c r="E184" s="1"/>
      <c r="F184" s="1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3"/>
      <c r="D185" s="13"/>
      <c r="E185" s="1"/>
      <c r="F185" s="1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3"/>
      <c r="D186" s="13"/>
      <c r="E186" s="1"/>
      <c r="F186" s="1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3"/>
      <c r="D187" s="13"/>
      <c r="E187" s="1"/>
      <c r="F187" s="1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3"/>
      <c r="D188" s="13"/>
      <c r="E188" s="1"/>
      <c r="F188" s="1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3"/>
      <c r="D189" s="13"/>
      <c r="E189" s="1"/>
      <c r="F189" s="1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3"/>
      <c r="D190" s="13"/>
      <c r="E190" s="1"/>
      <c r="F190" s="1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3"/>
      <c r="D191" s="13"/>
      <c r="E191" s="1"/>
      <c r="F191" s="1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3"/>
      <c r="D192" s="13"/>
      <c r="E192" s="1"/>
      <c r="F192" s="1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3"/>
      <c r="D193" s="13"/>
      <c r="E193" s="1"/>
      <c r="F193" s="1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3"/>
      <c r="D194" s="13"/>
      <c r="E194" s="1"/>
      <c r="F194" s="1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3"/>
      <c r="D195" s="13"/>
      <c r="E195" s="1"/>
      <c r="F195" s="1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3"/>
      <c r="D196" s="13"/>
      <c r="E196" s="1"/>
      <c r="F196" s="1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3"/>
      <c r="D197" s="13"/>
      <c r="E197" s="1"/>
      <c r="F197" s="1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3"/>
      <c r="D198" s="13"/>
      <c r="E198" s="1"/>
      <c r="F198" s="1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3"/>
      <c r="D199" s="13"/>
      <c r="E199" s="1"/>
      <c r="F199" s="1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3"/>
      <c r="D200" s="13"/>
      <c r="E200" s="1"/>
      <c r="F200" s="1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3"/>
      <c r="D201" s="13"/>
      <c r="E201" s="1"/>
      <c r="F201" s="1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3"/>
      <c r="D202" s="13"/>
      <c r="E202" s="1"/>
      <c r="F202" s="1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3"/>
      <c r="D203" s="13"/>
      <c r="E203" s="1"/>
      <c r="F203" s="1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3"/>
      <c r="D204" s="13"/>
      <c r="E204" s="1"/>
      <c r="F204" s="1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3"/>
      <c r="D205" s="13"/>
      <c r="E205" s="1"/>
      <c r="F205" s="1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3"/>
      <c r="D206" s="13"/>
      <c r="E206" s="1"/>
      <c r="F206" s="1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3"/>
      <c r="D207" s="13"/>
      <c r="E207" s="1"/>
      <c r="F207" s="1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3"/>
      <c r="D208" s="13"/>
      <c r="E208" s="1"/>
      <c r="F208" s="1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3"/>
      <c r="D209" s="13"/>
      <c r="E209" s="1"/>
      <c r="F209" s="1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3"/>
      <c r="D210" s="13"/>
      <c r="E210" s="1"/>
      <c r="F210" s="1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3"/>
      <c r="D211" s="13"/>
      <c r="E211" s="1"/>
      <c r="F211" s="1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3"/>
      <c r="D212" s="13"/>
      <c r="E212" s="1"/>
      <c r="F212" s="1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3"/>
      <c r="D213" s="13"/>
      <c r="E213" s="1"/>
      <c r="F213" s="1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3"/>
      <c r="D214" s="13"/>
      <c r="E214" s="1"/>
      <c r="F214" s="1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3"/>
      <c r="D215" s="13"/>
      <c r="E215" s="1"/>
      <c r="F215" s="1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3"/>
      <c r="D216" s="13"/>
      <c r="E216" s="1"/>
      <c r="F216" s="1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3"/>
      <c r="D217" s="13"/>
      <c r="E217" s="1"/>
      <c r="F217" s="1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3"/>
      <c r="D218" s="13"/>
      <c r="E218" s="1"/>
      <c r="F218" s="1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3"/>
      <c r="D219" s="13"/>
      <c r="E219" s="1"/>
      <c r="F219" s="1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3"/>
      <c r="D220" s="13"/>
      <c r="E220" s="1"/>
      <c r="F220" s="1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3"/>
      <c r="D221" s="13"/>
      <c r="E221" s="1"/>
      <c r="F221" s="1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3"/>
      <c r="D222" s="13"/>
      <c r="E222" s="1"/>
      <c r="F222" s="1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3"/>
      <c r="D223" s="13"/>
      <c r="E223" s="1"/>
      <c r="F223" s="1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3"/>
      <c r="D224" s="13"/>
      <c r="E224" s="1"/>
      <c r="F224" s="1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3"/>
      <c r="D225" s="13"/>
      <c r="E225" s="1"/>
      <c r="F225" s="1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3"/>
      <c r="D226" s="13"/>
      <c r="E226" s="1"/>
      <c r="F226" s="1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3"/>
      <c r="D227" s="13"/>
      <c r="E227" s="1"/>
      <c r="F227" s="1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3"/>
      <c r="D228" s="13"/>
      <c r="E228" s="1"/>
      <c r="F228" s="1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3"/>
      <c r="D229" s="13"/>
      <c r="E229" s="1"/>
      <c r="F229" s="1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3"/>
      <c r="D230" s="13"/>
      <c r="E230" s="1"/>
      <c r="F230" s="1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3"/>
      <c r="D231" s="13"/>
      <c r="E231" s="1"/>
      <c r="F231" s="1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3"/>
      <c r="D232" s="13"/>
      <c r="E232" s="1"/>
      <c r="F232" s="1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3"/>
      <c r="D233" s="13"/>
      <c r="E233" s="1"/>
      <c r="F233" s="1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3"/>
      <c r="D234" s="13"/>
      <c r="E234" s="1"/>
      <c r="F234" s="1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3"/>
      <c r="D235" s="13"/>
      <c r="E235" s="1"/>
      <c r="F235" s="1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3"/>
      <c r="D236" s="13"/>
      <c r="E236" s="1"/>
      <c r="F236" s="1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3"/>
      <c r="D237" s="13"/>
      <c r="E237" s="1"/>
      <c r="F237" s="1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3"/>
      <c r="D238" s="13"/>
      <c r="E238" s="1"/>
      <c r="F238" s="1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3"/>
      <c r="D239" s="13"/>
      <c r="E239" s="1"/>
      <c r="F239" s="1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3"/>
      <c r="D240" s="13"/>
      <c r="E240" s="1"/>
      <c r="F240" s="1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3"/>
      <c r="D241" s="13"/>
      <c r="E241" s="1"/>
      <c r="F241" s="1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3"/>
      <c r="D242" s="13"/>
      <c r="E242" s="1"/>
      <c r="F242" s="1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3"/>
      <c r="D243" s="13"/>
      <c r="E243" s="1"/>
      <c r="F243" s="1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3"/>
      <c r="D244" s="13"/>
      <c r="E244" s="1"/>
      <c r="F244" s="1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3"/>
      <c r="D245" s="13"/>
      <c r="E245" s="1"/>
      <c r="F245" s="1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3"/>
      <c r="D246" s="13"/>
      <c r="E246" s="1"/>
      <c r="F246" s="1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3"/>
      <c r="D247" s="13"/>
      <c r="E247" s="1"/>
      <c r="F247" s="1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3"/>
      <c r="D248" s="13"/>
      <c r="E248" s="1"/>
      <c r="F248" s="1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3"/>
      <c r="D249" s="13"/>
      <c r="E249" s="1"/>
      <c r="F249" s="1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3"/>
      <c r="D250" s="13"/>
      <c r="E250" s="1"/>
      <c r="F250" s="1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3"/>
      <c r="D251" s="13"/>
      <c r="E251" s="1"/>
      <c r="F251" s="1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3"/>
      <c r="D252" s="13"/>
      <c r="E252" s="1"/>
      <c r="F252" s="1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3"/>
      <c r="D253" s="13"/>
      <c r="E253" s="1"/>
      <c r="F253" s="1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3"/>
      <c r="D254" s="13"/>
      <c r="E254" s="1"/>
      <c r="F254" s="1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3"/>
      <c r="D255" s="13"/>
      <c r="E255" s="1"/>
      <c r="F255" s="1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3"/>
      <c r="D256" s="13"/>
      <c r="E256" s="1"/>
      <c r="F256" s="1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3"/>
      <c r="D257" s="13"/>
      <c r="E257" s="1"/>
      <c r="F257" s="1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3"/>
      <c r="D258" s="13"/>
      <c r="E258" s="1"/>
      <c r="F258" s="1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3"/>
      <c r="D259" s="13"/>
      <c r="E259" s="1"/>
      <c r="F259" s="1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3"/>
      <c r="D260" s="13"/>
      <c r="E260" s="1"/>
      <c r="F260" s="1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3"/>
      <c r="D261" s="13"/>
      <c r="E261" s="1"/>
      <c r="F261" s="1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3"/>
      <c r="D262" s="13"/>
      <c r="E262" s="1"/>
      <c r="F262" s="1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3"/>
      <c r="D263" s="13"/>
      <c r="E263" s="1"/>
      <c r="F263" s="1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3"/>
      <c r="D264" s="13"/>
      <c r="E264" s="1"/>
      <c r="F264" s="1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3"/>
      <c r="D265" s="13"/>
      <c r="E265" s="1"/>
      <c r="F265" s="1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3"/>
      <c r="D266" s="13"/>
      <c r="E266" s="1"/>
      <c r="F266" s="1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3"/>
      <c r="D267" s="13"/>
      <c r="E267" s="1"/>
      <c r="F267" s="1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3"/>
      <c r="D268" s="13"/>
      <c r="E268" s="1"/>
      <c r="F268" s="1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3"/>
      <c r="D269" s="13"/>
      <c r="E269" s="1"/>
      <c r="F269" s="1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3"/>
      <c r="D270" s="13"/>
      <c r="E270" s="1"/>
      <c r="F270" s="1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3"/>
      <c r="D271" s="13"/>
      <c r="E271" s="1"/>
      <c r="F271" s="1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3"/>
      <c r="D272" s="13"/>
      <c r="E272" s="1"/>
      <c r="F272" s="1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3"/>
      <c r="D273" s="13"/>
      <c r="E273" s="1"/>
      <c r="F273" s="1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3"/>
      <c r="D274" s="13"/>
      <c r="E274" s="1"/>
      <c r="F274" s="1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3"/>
      <c r="D275" s="13"/>
      <c r="E275" s="1"/>
      <c r="F275" s="1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3"/>
      <c r="D276" s="13"/>
      <c r="E276" s="1"/>
      <c r="F276" s="1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 t="s">
        <v>584</v>
      </c>
      <c r="C277" s="13"/>
      <c r="D277" s="13"/>
      <c r="E277" s="1"/>
      <c r="F277" s="1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3"/>
      <c r="D278" s="13"/>
      <c r="E278" s="1"/>
      <c r="F278" s="1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 t="s">
        <v>585</v>
      </c>
      <c r="C279" s="13"/>
      <c r="D279" s="13"/>
      <c r="E279" s="1"/>
      <c r="F279" s="1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3"/>
      <c r="D280" s="13"/>
      <c r="E280" s="1"/>
      <c r="F280" s="1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 t="s">
        <v>586</v>
      </c>
      <c r="C281" s="13"/>
      <c r="D281" s="13"/>
      <c r="E281" s="1"/>
      <c r="F281" s="1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3"/>
      <c r="D282" s="13"/>
      <c r="E282" s="1"/>
      <c r="F282" s="1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 t="s">
        <v>587</v>
      </c>
      <c r="C283" s="13"/>
      <c r="D283" s="13"/>
      <c r="E283" s="1"/>
      <c r="F283" s="1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3"/>
      <c r="D284" s="13"/>
      <c r="E284" s="1"/>
      <c r="F284" s="1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 t="s">
        <v>588</v>
      </c>
      <c r="C285" s="13"/>
      <c r="D285" s="13"/>
      <c r="E285" s="1"/>
      <c r="F285" s="1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3"/>
      <c r="D286" s="13"/>
      <c r="E286" s="1"/>
      <c r="F286" s="1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 t="s">
        <v>589</v>
      </c>
      <c r="C287" s="13"/>
      <c r="D287" s="13"/>
      <c r="E287" s="1"/>
      <c r="F287" s="1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3"/>
      <c r="D288" s="13"/>
      <c r="E288" s="1"/>
      <c r="F288" s="1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 t="s">
        <v>590</v>
      </c>
      <c r="C289" s="13"/>
      <c r="D289" s="13"/>
      <c r="E289" s="1"/>
      <c r="F289" s="1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3"/>
      <c r="D290" s="13"/>
      <c r="E290" s="1"/>
      <c r="F290" s="1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 t="s">
        <v>591</v>
      </c>
      <c r="C291" s="13"/>
      <c r="D291" s="13"/>
      <c r="E291" s="1"/>
      <c r="F291" s="1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3"/>
      <c r="D292" s="13"/>
      <c r="E292" s="1"/>
      <c r="F292" s="1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3"/>
      <c r="D293" s="13"/>
      <c r="E293" s="1"/>
      <c r="F293" s="1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3"/>
      <c r="D294" s="13"/>
      <c r="E294" s="1"/>
      <c r="F294" s="1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3"/>
      <c r="D295" s="13"/>
      <c r="E295" s="1"/>
      <c r="F295" s="1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3"/>
      <c r="D296" s="13"/>
      <c r="E296" s="1"/>
      <c r="F296" s="1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3"/>
      <c r="D297" s="13"/>
      <c r="E297" s="1"/>
      <c r="F297" s="1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3"/>
      <c r="D298" s="13"/>
      <c r="E298" s="1"/>
      <c r="F298" s="1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3"/>
      <c r="D299" s="13"/>
      <c r="E299" s="1"/>
      <c r="F299" s="1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3"/>
      <c r="D300" s="13"/>
      <c r="E300" s="1"/>
      <c r="F300" s="1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3"/>
      <c r="D301" s="13"/>
      <c r="E301" s="1"/>
      <c r="F301" s="1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3"/>
      <c r="D302" s="13"/>
      <c r="E302" s="1"/>
      <c r="F302" s="1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3"/>
      <c r="D303" s="13"/>
      <c r="E303" s="1"/>
      <c r="F303" s="1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3"/>
      <c r="D304" s="13"/>
      <c r="E304" s="1"/>
      <c r="F304" s="1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3"/>
      <c r="D305" s="13"/>
      <c r="E305" s="1"/>
      <c r="F305" s="1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3"/>
      <c r="D306" s="13"/>
      <c r="E306" s="1"/>
      <c r="F306" s="1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3"/>
      <c r="D307" s="13"/>
      <c r="E307" s="1"/>
      <c r="F307" s="1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3"/>
      <c r="D308" s="13"/>
      <c r="E308" s="1"/>
      <c r="F308" s="1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3"/>
      <c r="D309" s="13"/>
      <c r="E309" s="1"/>
      <c r="F309" s="1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3"/>
      <c r="D310" s="13"/>
      <c r="E310" s="1"/>
      <c r="F310" s="1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3"/>
      <c r="D311" s="13"/>
      <c r="E311" s="1"/>
      <c r="F311" s="1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3"/>
      <c r="D312" s="13"/>
      <c r="E312" s="1"/>
      <c r="F312" s="1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3"/>
      <c r="D313" s="13"/>
      <c r="E313" s="1"/>
      <c r="F313" s="1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3"/>
      <c r="D314" s="13"/>
      <c r="E314" s="1"/>
      <c r="F314" s="1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3"/>
      <c r="D315" s="13"/>
      <c r="E315" s="1"/>
      <c r="F315" s="1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3"/>
      <c r="D316" s="13"/>
      <c r="E316" s="1"/>
      <c r="F316" s="1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3"/>
      <c r="D317" s="13"/>
      <c r="E317" s="1"/>
      <c r="F317" s="1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3"/>
      <c r="D318" s="13"/>
      <c r="E318" s="1"/>
      <c r="F318" s="1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3"/>
      <c r="D319" s="13"/>
      <c r="E319" s="1"/>
      <c r="F319" s="1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3"/>
      <c r="D320" s="13"/>
      <c r="E320" s="1"/>
      <c r="F320" s="1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3"/>
      <c r="D321" s="13"/>
      <c r="E321" s="1"/>
      <c r="F321" s="1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3"/>
      <c r="D322" s="13"/>
      <c r="E322" s="1"/>
      <c r="F322" s="1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3"/>
      <c r="D323" s="13"/>
      <c r="E323" s="1"/>
      <c r="F323" s="1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3"/>
      <c r="D324" s="13"/>
      <c r="E324" s="1"/>
      <c r="F324" s="1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3"/>
      <c r="D325" s="13"/>
      <c r="E325" s="1"/>
      <c r="F325" s="1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3"/>
      <c r="D326" s="13"/>
      <c r="E326" s="1"/>
      <c r="F326" s="1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3"/>
      <c r="D327" s="13"/>
      <c r="E327" s="1"/>
      <c r="F327" s="1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3"/>
      <c r="D328" s="13"/>
      <c r="E328" s="1"/>
      <c r="F328" s="1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3"/>
      <c r="D329" s="13"/>
      <c r="E329" s="1"/>
      <c r="F329" s="1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3"/>
      <c r="D330" s="13"/>
      <c r="E330" s="1"/>
      <c r="F330" s="1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3"/>
      <c r="D331" s="13"/>
      <c r="E331" s="1"/>
      <c r="F331" s="1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3"/>
      <c r="D332" s="13"/>
      <c r="E332" s="1"/>
      <c r="F332" s="1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3"/>
      <c r="D333" s="13"/>
      <c r="E333" s="1"/>
      <c r="F333" s="1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3"/>
      <c r="D334" s="13"/>
      <c r="E334" s="1"/>
      <c r="F334" s="1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3"/>
      <c r="D335" s="13"/>
      <c r="E335" s="1"/>
      <c r="F335" s="1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3"/>
      <c r="D336" s="13"/>
      <c r="E336" s="1"/>
      <c r="F336" s="1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3"/>
      <c r="D337" s="13"/>
      <c r="E337" s="1"/>
      <c r="F337" s="1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3"/>
      <c r="D338" s="13"/>
      <c r="E338" s="1"/>
      <c r="F338" s="1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3"/>
      <c r="D339" s="13"/>
      <c r="E339" s="1"/>
      <c r="F339" s="1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3"/>
      <c r="D340" s="13"/>
      <c r="E340" s="1"/>
      <c r="F340" s="1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3"/>
      <c r="D341" s="13"/>
      <c r="E341" s="1"/>
      <c r="F341" s="1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3"/>
      <c r="D342" s="13"/>
      <c r="E342" s="1"/>
      <c r="F342" s="1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3"/>
      <c r="D343" s="13"/>
      <c r="E343" s="1"/>
      <c r="F343" s="1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3"/>
      <c r="D344" s="13"/>
      <c r="E344" s="1"/>
      <c r="F344" s="1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3"/>
      <c r="D345" s="13"/>
      <c r="E345" s="1"/>
      <c r="F345" s="1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3"/>
      <c r="D346" s="13"/>
      <c r="E346" s="1"/>
      <c r="F346" s="1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3"/>
      <c r="D347" s="13"/>
      <c r="E347" s="1"/>
      <c r="F347" s="1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3"/>
      <c r="D348" s="13"/>
      <c r="E348" s="1"/>
      <c r="F348" s="1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3"/>
      <c r="D349" s="13"/>
      <c r="E349" s="1"/>
      <c r="F349" s="1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3"/>
      <c r="D350" s="13"/>
      <c r="E350" s="1"/>
      <c r="F350" s="1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3"/>
      <c r="D351" s="13"/>
      <c r="E351" s="1"/>
      <c r="F351" s="1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3"/>
      <c r="D352" s="13"/>
      <c r="E352" s="1"/>
      <c r="F352" s="1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3"/>
      <c r="D353" s="13"/>
      <c r="E353" s="1"/>
      <c r="F353" s="1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3"/>
      <c r="D354" s="13"/>
      <c r="E354" s="1"/>
      <c r="F354" s="1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3"/>
      <c r="D355" s="13"/>
      <c r="E355" s="1"/>
      <c r="F355" s="1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3"/>
      <c r="D356" s="13"/>
      <c r="E356" s="1"/>
      <c r="F356" s="1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3"/>
      <c r="D357" s="13"/>
      <c r="E357" s="1"/>
      <c r="F357" s="1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3"/>
      <c r="D358" s="13"/>
      <c r="E358" s="1"/>
      <c r="F358" s="1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3"/>
      <c r="D359" s="13"/>
      <c r="E359" s="1"/>
      <c r="F359" s="1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3"/>
      <c r="D360" s="13"/>
      <c r="E360" s="1"/>
      <c r="F360" s="1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3"/>
      <c r="D361" s="13"/>
      <c r="E361" s="1"/>
      <c r="F361" s="1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3"/>
      <c r="D362" s="13"/>
      <c r="E362" s="1"/>
      <c r="F362" s="1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3"/>
      <c r="D363" s="13"/>
      <c r="E363" s="1"/>
      <c r="F363" s="1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3"/>
      <c r="D364" s="13"/>
      <c r="E364" s="1"/>
      <c r="F364" s="1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3"/>
      <c r="D365" s="13"/>
      <c r="E365" s="1"/>
      <c r="F365" s="1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3"/>
      <c r="D366" s="13"/>
      <c r="E366" s="1"/>
      <c r="F366" s="1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3"/>
      <c r="D367" s="13"/>
      <c r="E367" s="1"/>
      <c r="F367" s="1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3"/>
      <c r="D368" s="13"/>
      <c r="E368" s="1"/>
      <c r="F368" s="1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3"/>
      <c r="D369" s="13"/>
      <c r="E369" s="1"/>
      <c r="F369" s="1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3"/>
      <c r="D370" s="13"/>
      <c r="E370" s="1"/>
      <c r="F370" s="1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3"/>
      <c r="D371" s="13"/>
      <c r="E371" s="1"/>
      <c r="F371" s="1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3"/>
      <c r="D372" s="13"/>
      <c r="E372" s="1"/>
      <c r="F372" s="1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3"/>
      <c r="D373" s="13"/>
      <c r="E373" s="1"/>
      <c r="F373" s="1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3"/>
      <c r="D374" s="13"/>
      <c r="E374" s="1"/>
      <c r="F374" s="1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3"/>
      <c r="D375" s="13"/>
      <c r="E375" s="1"/>
      <c r="F375" s="1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3"/>
      <c r="D376" s="13"/>
      <c r="E376" s="1"/>
      <c r="F376" s="1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3"/>
      <c r="D377" s="13"/>
      <c r="E377" s="1"/>
      <c r="F377" s="1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3"/>
      <c r="D378" s="13"/>
      <c r="E378" s="1"/>
      <c r="F378" s="1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3"/>
      <c r="D379" s="13"/>
      <c r="E379" s="1"/>
      <c r="F379" s="1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3"/>
      <c r="D380" s="13"/>
      <c r="E380" s="1"/>
      <c r="F380" s="1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3"/>
      <c r="D381" s="13"/>
      <c r="E381" s="1"/>
      <c r="F381" s="1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3"/>
      <c r="D382" s="13"/>
      <c r="E382" s="1"/>
      <c r="F382" s="1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3"/>
      <c r="D383" s="13"/>
      <c r="E383" s="1"/>
      <c r="F383" s="1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3"/>
      <c r="D384" s="13"/>
      <c r="E384" s="1"/>
      <c r="F384" s="1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3"/>
      <c r="D385" s="13"/>
      <c r="E385" s="1"/>
      <c r="F385" s="1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3"/>
      <c r="D386" s="13"/>
      <c r="E386" s="1"/>
      <c r="F386" s="1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3"/>
      <c r="D387" s="13"/>
      <c r="E387" s="1"/>
      <c r="F387" s="1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3"/>
      <c r="D388" s="13"/>
      <c r="E388" s="1"/>
      <c r="F388" s="1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3"/>
      <c r="D389" s="13"/>
      <c r="E389" s="1"/>
      <c r="F389" s="1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3"/>
      <c r="D390" s="13"/>
      <c r="E390" s="1"/>
      <c r="F390" s="1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3"/>
      <c r="D391" s="13"/>
      <c r="E391" s="1"/>
      <c r="F391" s="1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3"/>
      <c r="D392" s="13"/>
      <c r="E392" s="1"/>
      <c r="F392" s="1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3"/>
      <c r="D393" s="13"/>
      <c r="E393" s="1"/>
      <c r="F393" s="1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3"/>
      <c r="D394" s="13"/>
      <c r="E394" s="1"/>
      <c r="F394" s="1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3"/>
      <c r="D395" s="13"/>
      <c r="E395" s="1"/>
      <c r="F395" s="1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3"/>
      <c r="D396" s="13"/>
      <c r="E396" s="1"/>
      <c r="F396" s="1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3"/>
      <c r="D397" s="13"/>
      <c r="E397" s="1"/>
      <c r="F397" s="1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3"/>
      <c r="D398" s="13"/>
      <c r="E398" s="1"/>
      <c r="F398" s="1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3"/>
      <c r="D399" s="13"/>
      <c r="E399" s="1"/>
      <c r="F399" s="1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3"/>
      <c r="D400" s="13"/>
      <c r="E400" s="1"/>
      <c r="F400" s="1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3"/>
      <c r="D401" s="13"/>
      <c r="E401" s="1"/>
      <c r="F401" s="1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3"/>
      <c r="D402" s="13"/>
      <c r="E402" s="1"/>
      <c r="F402" s="1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3"/>
      <c r="D403" s="13"/>
      <c r="E403" s="1"/>
      <c r="F403" s="1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3"/>
      <c r="D404" s="13"/>
      <c r="E404" s="1"/>
      <c r="F404" s="1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3"/>
      <c r="D405" s="13"/>
      <c r="E405" s="1"/>
      <c r="F405" s="1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3"/>
      <c r="D406" s="13"/>
      <c r="E406" s="1"/>
      <c r="F406" s="1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3"/>
      <c r="D407" s="13"/>
      <c r="E407" s="1"/>
      <c r="F407" s="1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3"/>
      <c r="D408" s="13"/>
      <c r="E408" s="1"/>
      <c r="F408" s="1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3"/>
      <c r="D409" s="13"/>
      <c r="E409" s="1"/>
      <c r="F409" s="1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3"/>
      <c r="D410" s="13"/>
      <c r="E410" s="1"/>
      <c r="F410" s="1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3"/>
      <c r="D411" s="13"/>
      <c r="E411" s="1"/>
      <c r="F411" s="1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3"/>
      <c r="D412" s="13"/>
      <c r="E412" s="1"/>
      <c r="F412" s="1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3"/>
      <c r="D413" s="13"/>
      <c r="E413" s="1"/>
      <c r="F413" s="1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3"/>
      <c r="D414" s="13"/>
      <c r="E414" s="1"/>
      <c r="F414" s="1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3"/>
      <c r="D415" s="13"/>
      <c r="E415" s="1"/>
      <c r="F415" s="1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3"/>
      <c r="D416" s="13"/>
      <c r="E416" s="1"/>
      <c r="F416" s="1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3"/>
      <c r="D417" s="13"/>
      <c r="E417" s="1"/>
      <c r="F417" s="1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3"/>
      <c r="D418" s="13"/>
      <c r="E418" s="1"/>
      <c r="F418" s="1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3"/>
      <c r="D419" s="13"/>
      <c r="E419" s="1"/>
      <c r="F419" s="1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3"/>
      <c r="D420" s="13"/>
      <c r="E420" s="1"/>
      <c r="F420" s="1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3"/>
      <c r="D421" s="13"/>
      <c r="E421" s="1"/>
      <c r="F421" s="1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3"/>
      <c r="D422" s="13"/>
      <c r="E422" s="1"/>
      <c r="F422" s="1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3"/>
      <c r="D423" s="13"/>
      <c r="E423" s="1"/>
      <c r="F423" s="1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3"/>
      <c r="D424" s="13"/>
      <c r="E424" s="1"/>
      <c r="F424" s="1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3"/>
      <c r="D425" s="13"/>
      <c r="E425" s="1"/>
      <c r="F425" s="1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3"/>
      <c r="D426" s="13"/>
      <c r="E426" s="1"/>
      <c r="F426" s="1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3"/>
      <c r="D427" s="13"/>
      <c r="E427" s="1"/>
      <c r="F427" s="1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3"/>
      <c r="D428" s="13"/>
      <c r="E428" s="1"/>
      <c r="F428" s="1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3"/>
      <c r="D429" s="13"/>
      <c r="E429" s="1"/>
      <c r="F429" s="1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3"/>
      <c r="D430" s="13"/>
      <c r="E430" s="1"/>
      <c r="F430" s="1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3"/>
      <c r="D431" s="13"/>
      <c r="E431" s="1"/>
      <c r="F431" s="1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3"/>
      <c r="D432" s="13"/>
      <c r="E432" s="1"/>
      <c r="F432" s="1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3"/>
      <c r="D433" s="13"/>
      <c r="E433" s="1"/>
      <c r="F433" s="1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3"/>
      <c r="D434" s="13"/>
      <c r="E434" s="1"/>
      <c r="F434" s="1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3"/>
      <c r="D435" s="13"/>
      <c r="E435" s="1"/>
      <c r="F435" s="1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3"/>
      <c r="D436" s="13"/>
      <c r="E436" s="1"/>
      <c r="F436" s="1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3"/>
      <c r="D437" s="13"/>
      <c r="E437" s="1"/>
      <c r="F437" s="1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3"/>
      <c r="D438" s="13"/>
      <c r="E438" s="1"/>
      <c r="F438" s="1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3"/>
      <c r="D439" s="13"/>
      <c r="E439" s="1"/>
      <c r="F439" s="1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3"/>
      <c r="D440" s="13"/>
      <c r="E440" s="1"/>
      <c r="F440" s="1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3"/>
      <c r="D441" s="13"/>
      <c r="E441" s="1"/>
      <c r="F441" s="1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3"/>
      <c r="D442" s="13"/>
      <c r="E442" s="1"/>
      <c r="F442" s="1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3"/>
      <c r="D443" s="13"/>
      <c r="E443" s="1"/>
      <c r="F443" s="1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3"/>
      <c r="D444" s="13"/>
      <c r="E444" s="1"/>
      <c r="F444" s="1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3"/>
      <c r="D445" s="13"/>
      <c r="E445" s="1"/>
      <c r="F445" s="1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3"/>
      <c r="D446" s="13"/>
      <c r="E446" s="1"/>
      <c r="F446" s="1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3"/>
      <c r="D447" s="13"/>
      <c r="E447" s="1"/>
      <c r="F447" s="1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3"/>
      <c r="D448" s="13"/>
      <c r="E448" s="1"/>
      <c r="F448" s="1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3"/>
      <c r="D449" s="13"/>
      <c r="E449" s="1"/>
      <c r="F449" s="1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3"/>
      <c r="D450" s="13"/>
      <c r="E450" s="1"/>
      <c r="F450" s="1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3"/>
      <c r="D451" s="13"/>
      <c r="E451" s="1"/>
      <c r="F451" s="1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3"/>
      <c r="D452" s="13"/>
      <c r="E452" s="1"/>
      <c r="F452" s="1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3"/>
      <c r="D453" s="13"/>
      <c r="E453" s="1"/>
      <c r="F453" s="1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3"/>
      <c r="D454" s="13"/>
      <c r="E454" s="1"/>
      <c r="F454" s="1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3"/>
      <c r="D455" s="13"/>
      <c r="E455" s="1"/>
      <c r="F455" s="1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3"/>
      <c r="D456" s="13"/>
      <c r="E456" s="1"/>
      <c r="F456" s="1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3"/>
      <c r="D457" s="13"/>
      <c r="E457" s="1"/>
      <c r="F457" s="1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3"/>
      <c r="D458" s="13"/>
      <c r="E458" s="1"/>
      <c r="F458" s="1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3"/>
      <c r="D459" s="13"/>
      <c r="E459" s="1"/>
      <c r="F459" s="1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3"/>
      <c r="D460" s="13"/>
      <c r="E460" s="1"/>
      <c r="F460" s="1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3"/>
      <c r="D461" s="13"/>
      <c r="E461" s="1"/>
      <c r="F461" s="1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3"/>
      <c r="D462" s="13"/>
      <c r="E462" s="1"/>
      <c r="F462" s="1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3"/>
      <c r="D463" s="13"/>
      <c r="E463" s="1"/>
      <c r="F463" s="1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3"/>
      <c r="D464" s="13"/>
      <c r="E464" s="1"/>
      <c r="F464" s="1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3"/>
      <c r="D465" s="13"/>
      <c r="E465" s="1"/>
      <c r="F465" s="1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3"/>
      <c r="D466" s="13"/>
      <c r="E466" s="1"/>
      <c r="F466" s="1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3"/>
      <c r="D467" s="13"/>
      <c r="E467" s="1"/>
      <c r="F467" s="1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3"/>
      <c r="D468" s="13"/>
      <c r="E468" s="1"/>
      <c r="F468" s="1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3"/>
      <c r="D469" s="13"/>
      <c r="E469" s="1"/>
      <c r="F469" s="1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3"/>
      <c r="D470" s="13"/>
      <c r="E470" s="1"/>
      <c r="F470" s="1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3"/>
      <c r="D471" s="13"/>
      <c r="E471" s="1"/>
      <c r="F471" s="1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3"/>
      <c r="D472" s="13"/>
      <c r="E472" s="1"/>
      <c r="F472" s="1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3"/>
      <c r="D473" s="13"/>
      <c r="E473" s="1"/>
      <c r="F473" s="1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3"/>
      <c r="D474" s="13"/>
      <c r="E474" s="1"/>
      <c r="F474" s="1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3"/>
      <c r="D475" s="13"/>
      <c r="E475" s="1"/>
      <c r="F475" s="1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3"/>
      <c r="D476" s="13"/>
      <c r="E476" s="1"/>
      <c r="F476" s="1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3"/>
      <c r="D477" s="13"/>
      <c r="E477" s="1"/>
      <c r="F477" s="1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3"/>
      <c r="D478" s="13"/>
      <c r="E478" s="1"/>
      <c r="F478" s="1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3"/>
      <c r="D479" s="13"/>
      <c r="E479" s="1"/>
      <c r="F479" s="1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3"/>
      <c r="D480" s="13"/>
      <c r="E480" s="1"/>
      <c r="F480" s="1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3"/>
      <c r="D481" s="13"/>
      <c r="E481" s="1"/>
      <c r="F481" s="1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3"/>
      <c r="D482" s="13"/>
      <c r="E482" s="1"/>
      <c r="F482" s="1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3"/>
      <c r="D483" s="13"/>
      <c r="E483" s="1"/>
      <c r="F483" s="1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3"/>
      <c r="D484" s="13"/>
      <c r="E484" s="1"/>
      <c r="F484" s="1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3"/>
      <c r="D485" s="13"/>
      <c r="E485" s="1"/>
      <c r="F485" s="1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3"/>
      <c r="D486" s="13"/>
      <c r="E486" s="1"/>
      <c r="F486" s="1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3"/>
      <c r="D487" s="13"/>
      <c r="E487" s="1"/>
      <c r="F487" s="1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3"/>
      <c r="D488" s="13"/>
      <c r="E488" s="1"/>
      <c r="F488" s="1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3"/>
      <c r="D489" s="13"/>
      <c r="E489" s="1"/>
      <c r="F489" s="1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3"/>
      <c r="D490" s="13"/>
      <c r="E490" s="1"/>
      <c r="F490" s="1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3"/>
      <c r="D491" s="13"/>
      <c r="E491" s="1"/>
      <c r="F491" s="1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3"/>
      <c r="D492" s="13"/>
      <c r="E492" s="1"/>
      <c r="F492" s="1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3"/>
      <c r="D493" s="13"/>
      <c r="E493" s="1"/>
      <c r="F493" s="1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3"/>
      <c r="D494" s="13"/>
      <c r="E494" s="1"/>
      <c r="F494" s="1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3"/>
      <c r="D495" s="13"/>
      <c r="E495" s="1"/>
      <c r="F495" s="1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3"/>
      <c r="D496" s="13"/>
      <c r="E496" s="1"/>
      <c r="F496" s="1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3"/>
      <c r="D497" s="13"/>
      <c r="E497" s="1"/>
      <c r="F497" s="1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3"/>
      <c r="D498" s="13"/>
      <c r="E498" s="1"/>
      <c r="F498" s="1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3"/>
      <c r="D499" s="13"/>
      <c r="E499" s="1"/>
      <c r="F499" s="1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3"/>
      <c r="D500" s="13"/>
      <c r="E500" s="1"/>
      <c r="F500" s="1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3"/>
      <c r="D501" s="13"/>
      <c r="E501" s="1"/>
      <c r="F501" s="1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3"/>
      <c r="D502" s="13"/>
      <c r="E502" s="1"/>
      <c r="F502" s="1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3"/>
      <c r="D503" s="13"/>
      <c r="E503" s="1"/>
      <c r="F503" s="1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3"/>
      <c r="D504" s="13"/>
      <c r="E504" s="1"/>
      <c r="F504" s="1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3"/>
      <c r="D505" s="13"/>
      <c r="E505" s="1"/>
      <c r="F505" s="1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3"/>
      <c r="D506" s="13"/>
      <c r="E506" s="1"/>
      <c r="F506" s="1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3"/>
      <c r="D507" s="13"/>
      <c r="E507" s="1"/>
      <c r="F507" s="1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3"/>
      <c r="D508" s="13"/>
      <c r="E508" s="1"/>
      <c r="F508" s="1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3"/>
      <c r="D509" s="13"/>
      <c r="E509" s="1"/>
      <c r="F509" s="1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3"/>
      <c r="D510" s="13"/>
      <c r="E510" s="1"/>
      <c r="F510" s="1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3"/>
      <c r="D511" s="13"/>
      <c r="E511" s="1"/>
      <c r="F511" s="1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3"/>
      <c r="D512" s="13"/>
      <c r="E512" s="1"/>
      <c r="F512" s="1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3"/>
      <c r="D513" s="13"/>
      <c r="E513" s="1"/>
      <c r="F513" s="1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3"/>
      <c r="D514" s="13"/>
      <c r="E514" s="1"/>
      <c r="F514" s="1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3"/>
      <c r="D515" s="13"/>
      <c r="E515" s="1"/>
      <c r="F515" s="1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3"/>
      <c r="D516" s="13"/>
      <c r="E516" s="1"/>
      <c r="F516" s="1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3"/>
      <c r="D517" s="13"/>
      <c r="E517" s="1"/>
      <c r="F517" s="1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3"/>
      <c r="D518" s="13"/>
      <c r="E518" s="1"/>
      <c r="F518" s="1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3"/>
      <c r="D519" s="13"/>
      <c r="E519" s="1"/>
      <c r="F519" s="1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3"/>
      <c r="D520" s="13"/>
      <c r="E520" s="1"/>
      <c r="F520" s="1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3"/>
      <c r="D521" s="13"/>
      <c r="E521" s="1"/>
      <c r="F521" s="1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3"/>
      <c r="D522" s="13"/>
      <c r="E522" s="1"/>
      <c r="F522" s="1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3"/>
      <c r="D523" s="13"/>
      <c r="E523" s="1"/>
      <c r="F523" s="1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3"/>
      <c r="D524" s="13"/>
      <c r="E524" s="1"/>
      <c r="F524" s="1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3"/>
      <c r="D525" s="13"/>
      <c r="E525" s="1"/>
      <c r="F525" s="1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3"/>
      <c r="D526" s="13"/>
      <c r="E526" s="1"/>
      <c r="F526" s="1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3"/>
      <c r="D527" s="13"/>
      <c r="E527" s="1"/>
      <c r="F527" s="1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3"/>
      <c r="D528" s="13"/>
      <c r="E528" s="1"/>
      <c r="F528" s="1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3"/>
      <c r="D529" s="13"/>
      <c r="E529" s="1"/>
      <c r="F529" s="1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3"/>
      <c r="D530" s="13"/>
      <c r="E530" s="1"/>
      <c r="F530" s="1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3"/>
      <c r="D531" s="13"/>
      <c r="E531" s="1"/>
      <c r="F531" s="1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3"/>
      <c r="D532" s="13"/>
      <c r="E532" s="1"/>
      <c r="F532" s="1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3"/>
      <c r="D533" s="13"/>
      <c r="E533" s="1"/>
      <c r="F533" s="1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3"/>
      <c r="D534" s="13"/>
      <c r="E534" s="1"/>
      <c r="F534" s="1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3"/>
      <c r="D535" s="13"/>
      <c r="E535" s="1"/>
      <c r="F535" s="1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3"/>
      <c r="D536" s="13"/>
      <c r="E536" s="1"/>
      <c r="F536" s="1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3"/>
      <c r="D537" s="13"/>
      <c r="E537" s="1"/>
      <c r="F537" s="1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3"/>
      <c r="D538" s="13"/>
      <c r="E538" s="1"/>
      <c r="F538" s="1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3"/>
      <c r="D539" s="13"/>
      <c r="E539" s="1"/>
      <c r="F539" s="1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3"/>
      <c r="D540" s="13"/>
      <c r="E540" s="1"/>
      <c r="F540" s="1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3"/>
      <c r="D541" s="13"/>
      <c r="E541" s="1"/>
      <c r="F541" s="1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3"/>
      <c r="D542" s="13"/>
      <c r="E542" s="1"/>
      <c r="F542" s="1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3"/>
      <c r="D543" s="13"/>
      <c r="E543" s="1"/>
      <c r="F543" s="1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3"/>
      <c r="D544" s="13"/>
      <c r="E544" s="1"/>
      <c r="F544" s="1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3"/>
      <c r="D545" s="13"/>
      <c r="E545" s="1"/>
      <c r="F545" s="1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3"/>
      <c r="D546" s="13"/>
      <c r="E546" s="1"/>
      <c r="F546" s="1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3"/>
      <c r="D547" s="13"/>
      <c r="E547" s="1"/>
      <c r="F547" s="1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3"/>
      <c r="D548" s="13"/>
      <c r="E548" s="1"/>
      <c r="F548" s="1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3"/>
      <c r="D549" s="13"/>
      <c r="E549" s="1"/>
      <c r="F549" s="1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3"/>
      <c r="D550" s="13"/>
      <c r="E550" s="1"/>
      <c r="F550" s="1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3"/>
      <c r="D551" s="13"/>
      <c r="E551" s="1"/>
      <c r="F551" s="1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3"/>
      <c r="D552" s="13"/>
      <c r="E552" s="1"/>
      <c r="F552" s="1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3"/>
      <c r="D553" s="13"/>
      <c r="E553" s="1"/>
      <c r="F553" s="1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3"/>
      <c r="D554" s="13"/>
      <c r="E554" s="1"/>
      <c r="F554" s="1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3"/>
      <c r="D555" s="13"/>
      <c r="E555" s="1"/>
      <c r="F555" s="1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3"/>
      <c r="D556" s="13"/>
      <c r="E556" s="1"/>
      <c r="F556" s="1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3"/>
      <c r="D557" s="13"/>
      <c r="E557" s="1"/>
      <c r="F557" s="1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3"/>
      <c r="D558" s="13"/>
      <c r="E558" s="1"/>
      <c r="F558" s="1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3"/>
      <c r="D559" s="13"/>
      <c r="E559" s="1"/>
      <c r="F559" s="1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3"/>
      <c r="D560" s="13"/>
      <c r="E560" s="1"/>
      <c r="F560" s="1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3"/>
      <c r="D561" s="13"/>
      <c r="E561" s="1"/>
      <c r="F561" s="1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3"/>
      <c r="D562" s="13"/>
      <c r="E562" s="1"/>
      <c r="F562" s="1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3"/>
      <c r="D563" s="13"/>
      <c r="E563" s="1"/>
      <c r="F563" s="1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3"/>
      <c r="D564" s="13"/>
      <c r="E564" s="1"/>
      <c r="F564" s="1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3"/>
      <c r="D565" s="13"/>
      <c r="E565" s="1"/>
      <c r="F565" s="1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3"/>
      <c r="D566" s="13"/>
      <c r="E566" s="1"/>
      <c r="F566" s="1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3"/>
      <c r="D567" s="13"/>
      <c r="E567" s="1"/>
      <c r="F567" s="1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3"/>
      <c r="D568" s="13"/>
      <c r="E568" s="1"/>
      <c r="F568" s="1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3"/>
      <c r="D569" s="13"/>
      <c r="E569" s="1"/>
      <c r="F569" s="1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3"/>
      <c r="D570" s="13"/>
      <c r="E570" s="1"/>
      <c r="F570" s="1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3"/>
      <c r="D571" s="13"/>
      <c r="E571" s="1"/>
      <c r="F571" s="1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3"/>
      <c r="D572" s="13"/>
      <c r="E572" s="1"/>
      <c r="F572" s="1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3"/>
      <c r="D573" s="13"/>
      <c r="E573" s="1"/>
      <c r="F573" s="1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3"/>
      <c r="D574" s="13"/>
      <c r="E574" s="1"/>
      <c r="F574" s="1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3"/>
      <c r="D575" s="13"/>
      <c r="E575" s="1"/>
      <c r="F575" s="1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3"/>
      <c r="D576" s="13"/>
      <c r="E576" s="1"/>
      <c r="F576" s="1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3"/>
      <c r="D577" s="13"/>
      <c r="E577" s="1"/>
      <c r="F577" s="1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3"/>
      <c r="D578" s="13"/>
      <c r="E578" s="1"/>
      <c r="F578" s="1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3"/>
      <c r="D579" s="13"/>
      <c r="E579" s="1"/>
      <c r="F579" s="1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3"/>
      <c r="D580" s="13"/>
      <c r="E580" s="1"/>
      <c r="F580" s="1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3"/>
      <c r="D581" s="13"/>
      <c r="E581" s="1"/>
      <c r="F581" s="1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3"/>
      <c r="D582" s="13"/>
      <c r="E582" s="1"/>
      <c r="F582" s="1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3"/>
      <c r="D583" s="13"/>
      <c r="E583" s="1"/>
      <c r="F583" s="1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3"/>
      <c r="D584" s="13"/>
      <c r="E584" s="1"/>
      <c r="F584" s="1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3"/>
      <c r="D585" s="13"/>
      <c r="E585" s="1"/>
      <c r="F585" s="1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3"/>
      <c r="D586" s="13"/>
      <c r="E586" s="1"/>
      <c r="F586" s="1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3"/>
      <c r="D587" s="13"/>
      <c r="E587" s="1"/>
      <c r="F587" s="1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3"/>
      <c r="D588" s="13"/>
      <c r="E588" s="1"/>
      <c r="F588" s="1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3"/>
      <c r="D589" s="13"/>
      <c r="E589" s="1"/>
      <c r="F589" s="1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3"/>
      <c r="D590" s="13"/>
      <c r="E590" s="1"/>
      <c r="F590" s="1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3"/>
      <c r="D591" s="13"/>
      <c r="E591" s="1"/>
      <c r="F591" s="1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3"/>
      <c r="D592" s="13"/>
      <c r="E592" s="1"/>
      <c r="F592" s="1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3"/>
      <c r="D593" s="13"/>
      <c r="E593" s="1"/>
      <c r="F593" s="1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3"/>
      <c r="D594" s="13"/>
      <c r="E594" s="1"/>
      <c r="F594" s="1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3"/>
      <c r="D595" s="13"/>
      <c r="E595" s="1"/>
      <c r="F595" s="1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3"/>
      <c r="D596" s="13"/>
      <c r="E596" s="1"/>
      <c r="F596" s="1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3"/>
      <c r="D597" s="13"/>
      <c r="E597" s="1"/>
      <c r="F597" s="1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3"/>
      <c r="D598" s="13"/>
      <c r="E598" s="1"/>
      <c r="F598" s="1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3"/>
      <c r="D599" s="13"/>
      <c r="E599" s="1"/>
      <c r="F599" s="1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3"/>
      <c r="D600" s="13"/>
      <c r="E600" s="1"/>
      <c r="F600" s="1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3"/>
      <c r="D601" s="13"/>
      <c r="E601" s="1"/>
      <c r="F601" s="1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3"/>
      <c r="D602" s="13"/>
      <c r="E602" s="1"/>
      <c r="F602" s="1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3"/>
      <c r="D603" s="13"/>
      <c r="E603" s="1"/>
      <c r="F603" s="1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3"/>
      <c r="D604" s="13"/>
      <c r="E604" s="1"/>
      <c r="F604" s="1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3"/>
      <c r="D605" s="13"/>
      <c r="E605" s="1"/>
      <c r="F605" s="1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3"/>
      <c r="D606" s="13"/>
      <c r="E606" s="1"/>
      <c r="F606" s="1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3"/>
      <c r="D607" s="13"/>
      <c r="E607" s="1"/>
      <c r="F607" s="1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3"/>
      <c r="D608" s="13"/>
      <c r="E608" s="1"/>
      <c r="F608" s="1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3"/>
      <c r="D609" s="13"/>
      <c r="E609" s="1"/>
      <c r="F609" s="1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3"/>
      <c r="D610" s="13"/>
      <c r="E610" s="1"/>
      <c r="F610" s="1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3"/>
      <c r="D611" s="13"/>
      <c r="E611" s="1"/>
      <c r="F611" s="1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3"/>
      <c r="D612" s="13"/>
      <c r="E612" s="1"/>
      <c r="F612" s="1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3"/>
      <c r="D613" s="13"/>
      <c r="E613" s="1"/>
      <c r="F613" s="1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3"/>
      <c r="D614" s="13"/>
      <c r="E614" s="1"/>
      <c r="F614" s="1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3"/>
      <c r="D615" s="13"/>
      <c r="E615" s="1"/>
      <c r="F615" s="1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3"/>
      <c r="D616" s="13"/>
      <c r="E616" s="1"/>
      <c r="F616" s="1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3"/>
      <c r="D617" s="13"/>
      <c r="E617" s="1"/>
      <c r="F617" s="1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3"/>
      <c r="D618" s="13"/>
      <c r="E618" s="1"/>
      <c r="F618" s="1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3"/>
      <c r="D619" s="13"/>
      <c r="E619" s="1"/>
      <c r="F619" s="1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3"/>
      <c r="D620" s="13"/>
      <c r="E620" s="1"/>
      <c r="F620" s="1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3"/>
      <c r="D621" s="13"/>
      <c r="E621" s="1"/>
      <c r="F621" s="1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3"/>
      <c r="D622" s="13"/>
      <c r="E622" s="1"/>
      <c r="F622" s="1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3"/>
      <c r="D623" s="13"/>
      <c r="E623" s="1"/>
      <c r="F623" s="1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3"/>
      <c r="D624" s="13"/>
      <c r="E624" s="1"/>
      <c r="F624" s="1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3"/>
      <c r="D625" s="13"/>
      <c r="E625" s="1"/>
      <c r="F625" s="1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3"/>
      <c r="D626" s="13"/>
      <c r="E626" s="1"/>
      <c r="F626" s="1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3"/>
      <c r="D627" s="13"/>
      <c r="E627" s="1"/>
      <c r="F627" s="1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3"/>
      <c r="D628" s="13"/>
      <c r="E628" s="1"/>
      <c r="F628" s="1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3"/>
      <c r="D629" s="13"/>
      <c r="E629" s="1"/>
      <c r="F629" s="1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3"/>
      <c r="D630" s="13"/>
      <c r="E630" s="1"/>
      <c r="F630" s="1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3"/>
      <c r="D631" s="13"/>
      <c r="E631" s="1"/>
      <c r="F631" s="1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3"/>
      <c r="D632" s="13"/>
      <c r="E632" s="1"/>
      <c r="F632" s="1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3"/>
      <c r="D633" s="13"/>
      <c r="E633" s="1"/>
      <c r="F633" s="1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3"/>
      <c r="D634" s="13"/>
      <c r="E634" s="1"/>
      <c r="F634" s="1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3"/>
      <c r="D635" s="13"/>
      <c r="E635" s="1"/>
      <c r="F635" s="1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3"/>
      <c r="D636" s="13"/>
      <c r="E636" s="1"/>
      <c r="F636" s="1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3"/>
      <c r="D637" s="13"/>
      <c r="E637" s="1"/>
      <c r="F637" s="1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3"/>
      <c r="D638" s="13"/>
      <c r="E638" s="1"/>
      <c r="F638" s="1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3"/>
      <c r="D639" s="13"/>
      <c r="E639" s="1"/>
      <c r="F639" s="1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3"/>
      <c r="D640" s="13"/>
      <c r="E640" s="1"/>
      <c r="F640" s="1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3"/>
      <c r="D641" s="13"/>
      <c r="E641" s="1"/>
      <c r="F641" s="1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3"/>
      <c r="D642" s="13"/>
      <c r="E642" s="1"/>
      <c r="F642" s="1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3"/>
      <c r="D643" s="13"/>
      <c r="E643" s="1"/>
      <c r="F643" s="1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3"/>
      <c r="D644" s="13"/>
      <c r="E644" s="1"/>
      <c r="F644" s="1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3"/>
      <c r="D645" s="13"/>
      <c r="E645" s="1"/>
      <c r="F645" s="1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3"/>
      <c r="D646" s="13"/>
      <c r="E646" s="1"/>
      <c r="F646" s="1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3"/>
      <c r="D647" s="13"/>
      <c r="E647" s="1"/>
      <c r="F647" s="1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3"/>
      <c r="D648" s="13"/>
      <c r="E648" s="1"/>
      <c r="F648" s="1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3"/>
      <c r="D649" s="13"/>
      <c r="E649" s="1"/>
      <c r="F649" s="1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3"/>
      <c r="D650" s="13"/>
      <c r="E650" s="1"/>
      <c r="F650" s="1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3"/>
      <c r="D651" s="13"/>
      <c r="E651" s="1"/>
      <c r="F651" s="1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3"/>
      <c r="D652" s="13"/>
      <c r="E652" s="1"/>
      <c r="F652" s="1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3"/>
      <c r="D653" s="13"/>
      <c r="E653" s="1"/>
      <c r="F653" s="1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3"/>
      <c r="D654" s="13"/>
      <c r="E654" s="1"/>
      <c r="F654" s="1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3"/>
      <c r="D655" s="13"/>
      <c r="E655" s="1"/>
      <c r="F655" s="1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3"/>
      <c r="D656" s="13"/>
      <c r="E656" s="1"/>
      <c r="F656" s="1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3"/>
      <c r="D657" s="13"/>
      <c r="E657" s="1"/>
      <c r="F657" s="1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3"/>
      <c r="D658" s="13"/>
      <c r="E658" s="1"/>
      <c r="F658" s="1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3"/>
      <c r="D659" s="13"/>
      <c r="E659" s="1"/>
      <c r="F659" s="1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3"/>
      <c r="D660" s="13"/>
      <c r="E660" s="1"/>
      <c r="F660" s="1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3"/>
      <c r="D661" s="13"/>
      <c r="E661" s="1"/>
      <c r="F661" s="1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3"/>
      <c r="D662" s="13"/>
      <c r="E662" s="1"/>
      <c r="F662" s="1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3"/>
      <c r="D663" s="13"/>
      <c r="E663" s="1"/>
      <c r="F663" s="1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3"/>
      <c r="D664" s="13"/>
      <c r="E664" s="1"/>
      <c r="F664" s="1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3"/>
      <c r="D665" s="13"/>
      <c r="E665" s="1"/>
      <c r="F665" s="1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3"/>
      <c r="D666" s="13"/>
      <c r="E666" s="1"/>
      <c r="F666" s="1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3"/>
      <c r="D667" s="13"/>
      <c r="E667" s="1"/>
      <c r="F667" s="1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3"/>
      <c r="D668" s="13"/>
      <c r="E668" s="1"/>
      <c r="F668" s="1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3"/>
      <c r="D669" s="13"/>
      <c r="E669" s="1"/>
      <c r="F669" s="1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3"/>
      <c r="D670" s="13"/>
      <c r="E670" s="1"/>
      <c r="F670" s="1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3"/>
      <c r="D671" s="13"/>
      <c r="E671" s="1"/>
      <c r="F671" s="1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3"/>
      <c r="D672" s="13"/>
      <c r="E672" s="1"/>
      <c r="F672" s="1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3"/>
      <c r="D673" s="13"/>
      <c r="E673" s="1"/>
      <c r="F673" s="1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3"/>
      <c r="D674" s="13"/>
      <c r="E674" s="1"/>
      <c r="F674" s="1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3"/>
      <c r="D675" s="13"/>
      <c r="E675" s="1"/>
      <c r="F675" s="1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3"/>
      <c r="D676" s="13"/>
      <c r="E676" s="1"/>
      <c r="F676" s="1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3"/>
      <c r="D677" s="13"/>
      <c r="E677" s="1"/>
      <c r="F677" s="1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3"/>
      <c r="D678" s="13"/>
      <c r="E678" s="1"/>
      <c r="F678" s="1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3"/>
      <c r="D679" s="13"/>
      <c r="E679" s="1"/>
      <c r="F679" s="1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3"/>
      <c r="D680" s="13"/>
      <c r="E680" s="1"/>
      <c r="F680" s="1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3"/>
      <c r="D681" s="13"/>
      <c r="E681" s="1"/>
      <c r="F681" s="1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3"/>
      <c r="D682" s="13"/>
      <c r="E682" s="1"/>
      <c r="F682" s="1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3"/>
      <c r="D683" s="13"/>
      <c r="E683" s="1"/>
      <c r="F683" s="1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3"/>
      <c r="D684" s="13"/>
      <c r="E684" s="1"/>
      <c r="F684" s="1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3"/>
      <c r="D685" s="13"/>
      <c r="E685" s="1"/>
      <c r="F685" s="1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3"/>
      <c r="D686" s="13"/>
      <c r="E686" s="1"/>
      <c r="F686" s="1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3"/>
      <c r="D687" s="13"/>
      <c r="E687" s="1"/>
      <c r="F687" s="1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3"/>
      <c r="D688" s="13"/>
      <c r="E688" s="1"/>
      <c r="F688" s="1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3"/>
      <c r="D689" s="13"/>
      <c r="E689" s="1"/>
      <c r="F689" s="1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3"/>
      <c r="D690" s="13"/>
      <c r="E690" s="1"/>
      <c r="F690" s="1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3"/>
      <c r="D691" s="13"/>
      <c r="E691" s="1"/>
      <c r="F691" s="1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3"/>
      <c r="D692" s="13"/>
      <c r="E692" s="1"/>
      <c r="F692" s="1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3"/>
      <c r="D693" s="13"/>
      <c r="E693" s="1"/>
      <c r="F693" s="1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3"/>
      <c r="D694" s="13"/>
      <c r="E694" s="1"/>
      <c r="F694" s="1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3"/>
      <c r="D695" s="13"/>
      <c r="E695" s="1"/>
      <c r="F695" s="1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3"/>
      <c r="D696" s="13"/>
      <c r="E696" s="1"/>
      <c r="F696" s="1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3"/>
      <c r="D697" s="13"/>
      <c r="E697" s="1"/>
      <c r="F697" s="1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3"/>
      <c r="D698" s="13"/>
      <c r="E698" s="1"/>
      <c r="F698" s="1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3"/>
      <c r="D699" s="13"/>
      <c r="E699" s="1"/>
      <c r="F699" s="1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3"/>
      <c r="D700" s="13"/>
      <c r="E700" s="1"/>
      <c r="F700" s="1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3"/>
      <c r="D701" s="13"/>
      <c r="E701" s="1"/>
      <c r="F701" s="1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3"/>
      <c r="D702" s="13"/>
      <c r="E702" s="1"/>
      <c r="F702" s="1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3"/>
      <c r="D703" s="13"/>
      <c r="E703" s="1"/>
      <c r="F703" s="1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3"/>
      <c r="D704" s="13"/>
      <c r="E704" s="1"/>
      <c r="F704" s="1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3"/>
      <c r="D705" s="13"/>
      <c r="E705" s="1"/>
      <c r="F705" s="1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3"/>
      <c r="D706" s="13"/>
      <c r="E706" s="1"/>
      <c r="F706" s="1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3"/>
      <c r="D707" s="13"/>
      <c r="E707" s="1"/>
      <c r="F707" s="1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3"/>
      <c r="D708" s="13"/>
      <c r="E708" s="1"/>
      <c r="F708" s="1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3"/>
      <c r="D709" s="13"/>
      <c r="E709" s="1"/>
      <c r="F709" s="1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3"/>
      <c r="D710" s="13"/>
      <c r="E710" s="1"/>
      <c r="F710" s="1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3"/>
      <c r="D711" s="13"/>
      <c r="E711" s="1"/>
      <c r="F711" s="1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3"/>
      <c r="D712" s="13"/>
      <c r="E712" s="1"/>
      <c r="F712" s="1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3"/>
      <c r="D713" s="13"/>
      <c r="E713" s="1"/>
      <c r="F713" s="1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3"/>
      <c r="D714" s="13"/>
      <c r="E714" s="1"/>
      <c r="F714" s="1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3"/>
      <c r="D715" s="13"/>
      <c r="E715" s="1"/>
      <c r="F715" s="1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3"/>
      <c r="D716" s="13"/>
      <c r="E716" s="1"/>
      <c r="F716" s="1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3"/>
      <c r="D717" s="13"/>
      <c r="E717" s="1"/>
      <c r="F717" s="1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3"/>
      <c r="D718" s="13"/>
      <c r="E718" s="1"/>
      <c r="F718" s="1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3"/>
      <c r="D719" s="13"/>
      <c r="E719" s="1"/>
      <c r="F719" s="1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3"/>
      <c r="D720" s="13"/>
      <c r="E720" s="1"/>
      <c r="F720" s="1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3"/>
      <c r="D721" s="13"/>
      <c r="E721" s="1"/>
      <c r="F721" s="1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3"/>
      <c r="D722" s="13"/>
      <c r="E722" s="1"/>
      <c r="F722" s="1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3"/>
      <c r="D723" s="13"/>
      <c r="E723" s="1"/>
      <c r="F723" s="1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3"/>
      <c r="D724" s="13"/>
      <c r="E724" s="1"/>
      <c r="F724" s="1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3"/>
      <c r="D725" s="13"/>
      <c r="E725" s="1"/>
      <c r="F725" s="1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3"/>
      <c r="D726" s="13"/>
      <c r="E726" s="1"/>
      <c r="F726" s="1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3"/>
      <c r="D727" s="13"/>
      <c r="E727" s="1"/>
      <c r="F727" s="1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3"/>
      <c r="D728" s="13"/>
      <c r="E728" s="1"/>
      <c r="F728" s="1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3"/>
      <c r="D729" s="13"/>
      <c r="E729" s="1"/>
      <c r="F729" s="1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3"/>
      <c r="D730" s="13"/>
      <c r="E730" s="1"/>
      <c r="F730" s="1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3"/>
      <c r="D731" s="13"/>
      <c r="E731" s="1"/>
      <c r="F731" s="1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3"/>
      <c r="D732" s="13"/>
      <c r="E732" s="1"/>
      <c r="F732" s="1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3"/>
      <c r="D733" s="13"/>
      <c r="E733" s="1"/>
      <c r="F733" s="1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3"/>
      <c r="D734" s="13"/>
      <c r="E734" s="1"/>
      <c r="F734" s="1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3"/>
      <c r="D735" s="13"/>
      <c r="E735" s="1"/>
      <c r="F735" s="1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3"/>
      <c r="D736" s="13"/>
      <c r="E736" s="1"/>
      <c r="F736" s="1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3"/>
      <c r="D737" s="13"/>
      <c r="E737" s="1"/>
      <c r="F737" s="1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3"/>
      <c r="D738" s="13"/>
      <c r="E738" s="1"/>
      <c r="F738" s="1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3"/>
      <c r="D739" s="13"/>
      <c r="E739" s="1"/>
      <c r="F739" s="1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3"/>
      <c r="D740" s="13"/>
      <c r="E740" s="1"/>
      <c r="F740" s="1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3"/>
      <c r="D741" s="13"/>
      <c r="E741" s="1"/>
      <c r="F741" s="1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3"/>
      <c r="D742" s="13"/>
      <c r="E742" s="1"/>
      <c r="F742" s="1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3"/>
      <c r="D743" s="13"/>
      <c r="E743" s="1"/>
      <c r="F743" s="1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3"/>
      <c r="D744" s="13"/>
      <c r="E744" s="1"/>
      <c r="F744" s="1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3"/>
      <c r="D745" s="13"/>
      <c r="E745" s="1"/>
      <c r="F745" s="1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3"/>
      <c r="D746" s="13"/>
      <c r="E746" s="1"/>
      <c r="F746" s="1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3"/>
      <c r="D747" s="13"/>
      <c r="E747" s="1"/>
      <c r="F747" s="1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3"/>
      <c r="D748" s="13"/>
      <c r="E748" s="1"/>
      <c r="F748" s="1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3"/>
      <c r="D749" s="13"/>
      <c r="E749" s="1"/>
      <c r="F749" s="1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3"/>
      <c r="D750" s="13"/>
      <c r="E750" s="1"/>
      <c r="F750" s="1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3"/>
      <c r="D751" s="13"/>
      <c r="E751" s="1"/>
      <c r="F751" s="1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3"/>
      <c r="D752" s="13"/>
      <c r="E752" s="1"/>
      <c r="F752" s="1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3"/>
      <c r="D753" s="13"/>
      <c r="E753" s="1"/>
      <c r="F753" s="1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3"/>
      <c r="D754" s="13"/>
      <c r="E754" s="1"/>
      <c r="F754" s="1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3"/>
      <c r="D755" s="13"/>
      <c r="E755" s="1"/>
      <c r="F755" s="1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3"/>
      <c r="D756" s="13"/>
      <c r="E756" s="1"/>
      <c r="F756" s="1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3"/>
      <c r="D757" s="13"/>
      <c r="E757" s="1"/>
      <c r="F757" s="1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3"/>
      <c r="D758" s="13"/>
      <c r="E758" s="1"/>
      <c r="F758" s="1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3"/>
      <c r="D759" s="13"/>
      <c r="E759" s="1"/>
      <c r="F759" s="1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3"/>
      <c r="D760" s="13"/>
      <c r="E760" s="1"/>
      <c r="F760" s="1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3"/>
      <c r="D761" s="13"/>
      <c r="E761" s="1"/>
      <c r="F761" s="1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3"/>
      <c r="D762" s="13"/>
      <c r="E762" s="1"/>
      <c r="F762" s="1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3"/>
      <c r="D763" s="13"/>
      <c r="E763" s="1"/>
      <c r="F763" s="1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3"/>
      <c r="D764" s="13"/>
      <c r="E764" s="1"/>
      <c r="F764" s="1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3"/>
      <c r="D765" s="13"/>
      <c r="E765" s="1"/>
      <c r="F765" s="1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3"/>
      <c r="D766" s="13"/>
      <c r="E766" s="1"/>
      <c r="F766" s="1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3"/>
      <c r="D767" s="13"/>
      <c r="E767" s="1"/>
      <c r="F767" s="1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3"/>
      <c r="D768" s="13"/>
      <c r="E768" s="1"/>
      <c r="F768" s="1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3"/>
      <c r="D769" s="13"/>
      <c r="E769" s="1"/>
      <c r="F769" s="1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3"/>
      <c r="D770" s="13"/>
      <c r="E770" s="1"/>
      <c r="F770" s="1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3"/>
      <c r="D771" s="13"/>
      <c r="E771" s="1"/>
      <c r="F771" s="1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3"/>
      <c r="D772" s="13"/>
      <c r="E772" s="1"/>
      <c r="F772" s="1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3"/>
      <c r="D773" s="13"/>
      <c r="E773" s="1"/>
      <c r="F773" s="1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3"/>
      <c r="D774" s="13"/>
      <c r="E774" s="1"/>
      <c r="F774" s="1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3"/>
      <c r="D775" s="13"/>
      <c r="E775" s="1"/>
      <c r="F775" s="1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3"/>
      <c r="D776" s="13"/>
      <c r="E776" s="1"/>
      <c r="F776" s="1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3"/>
      <c r="D777" s="13"/>
      <c r="E777" s="1"/>
      <c r="F777" s="1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3"/>
      <c r="D778" s="13"/>
      <c r="E778" s="1"/>
      <c r="F778" s="1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3"/>
      <c r="D779" s="13"/>
      <c r="E779" s="1"/>
      <c r="F779" s="1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3"/>
      <c r="D780" s="13"/>
      <c r="E780" s="1"/>
      <c r="F780" s="1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3"/>
      <c r="D781" s="13"/>
      <c r="E781" s="1"/>
      <c r="F781" s="1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3"/>
      <c r="D782" s="13"/>
      <c r="E782" s="1"/>
      <c r="F782" s="1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3"/>
      <c r="D783" s="13"/>
      <c r="E783" s="1"/>
      <c r="F783" s="1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3"/>
      <c r="D784" s="13"/>
      <c r="E784" s="1"/>
      <c r="F784" s="1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3"/>
      <c r="D785" s="13"/>
      <c r="E785" s="1"/>
      <c r="F785" s="1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3"/>
      <c r="D786" s="13"/>
      <c r="E786" s="1"/>
      <c r="F786" s="1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3"/>
      <c r="D787" s="13"/>
      <c r="E787" s="1"/>
      <c r="F787" s="1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3"/>
      <c r="D788" s="13"/>
      <c r="E788" s="1"/>
      <c r="F788" s="1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3"/>
      <c r="D789" s="13"/>
      <c r="E789" s="1"/>
      <c r="F789" s="1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3"/>
      <c r="D790" s="13"/>
      <c r="E790" s="1"/>
      <c r="F790" s="1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3"/>
      <c r="D791" s="13"/>
      <c r="E791" s="1"/>
      <c r="F791" s="1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3"/>
      <c r="D792" s="13"/>
      <c r="E792" s="1"/>
      <c r="F792" s="1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3"/>
      <c r="D793" s="13"/>
      <c r="E793" s="1"/>
      <c r="F793" s="1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3"/>
      <c r="D794" s="13"/>
      <c r="E794" s="1"/>
      <c r="F794" s="1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3"/>
      <c r="D795" s="13"/>
      <c r="E795" s="1"/>
      <c r="F795" s="1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3"/>
      <c r="D796" s="13"/>
      <c r="E796" s="1"/>
      <c r="F796" s="1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3"/>
      <c r="D797" s="13"/>
      <c r="E797" s="1"/>
      <c r="F797" s="1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3"/>
      <c r="D798" s="13"/>
      <c r="E798" s="1"/>
      <c r="F798" s="1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3"/>
      <c r="D799" s="13"/>
      <c r="E799" s="1"/>
      <c r="F799" s="1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3"/>
      <c r="D800" s="13"/>
      <c r="E800" s="1"/>
      <c r="F800" s="1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3"/>
      <c r="D801" s="13"/>
      <c r="E801" s="1"/>
      <c r="F801" s="1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3"/>
      <c r="D802" s="13"/>
      <c r="E802" s="1"/>
      <c r="F802" s="1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3"/>
      <c r="D803" s="13"/>
      <c r="E803" s="1"/>
      <c r="F803" s="1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3"/>
      <c r="D804" s="13"/>
      <c r="E804" s="1"/>
      <c r="F804" s="1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3"/>
      <c r="D805" s="13"/>
      <c r="E805" s="1"/>
      <c r="F805" s="1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3"/>
      <c r="D806" s="13"/>
      <c r="E806" s="1"/>
      <c r="F806" s="1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3"/>
      <c r="D807" s="13"/>
      <c r="E807" s="1"/>
      <c r="F807" s="1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3"/>
      <c r="D808" s="13"/>
      <c r="E808" s="1"/>
      <c r="F808" s="1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3"/>
      <c r="D809" s="13"/>
      <c r="E809" s="1"/>
      <c r="F809" s="1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3"/>
      <c r="D810" s="13"/>
      <c r="E810" s="1"/>
      <c r="F810" s="1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3"/>
      <c r="D811" s="13"/>
      <c r="E811" s="1"/>
      <c r="F811" s="1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3"/>
      <c r="D812" s="13"/>
      <c r="E812" s="1"/>
      <c r="F812" s="1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3"/>
      <c r="D813" s="13"/>
      <c r="E813" s="1"/>
      <c r="F813" s="1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3"/>
      <c r="D814" s="13"/>
      <c r="E814" s="1"/>
      <c r="F814" s="1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3"/>
      <c r="D815" s="13"/>
      <c r="E815" s="1"/>
      <c r="F815" s="1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3"/>
      <c r="D816" s="13"/>
      <c r="E816" s="1"/>
      <c r="F816" s="1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3"/>
      <c r="D817" s="13"/>
      <c r="E817" s="1"/>
      <c r="F817" s="1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3"/>
      <c r="D818" s="13"/>
      <c r="E818" s="1"/>
      <c r="F818" s="1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3"/>
      <c r="D819" s="13"/>
      <c r="E819" s="1"/>
      <c r="F819" s="1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3"/>
      <c r="D820" s="13"/>
      <c r="E820" s="1"/>
      <c r="F820" s="1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3"/>
      <c r="D821" s="13"/>
      <c r="E821" s="1"/>
      <c r="F821" s="1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3"/>
      <c r="D822" s="13"/>
      <c r="E822" s="1"/>
      <c r="F822" s="1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3"/>
      <c r="D823" s="13"/>
      <c r="E823" s="1"/>
      <c r="F823" s="1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3"/>
      <c r="D824" s="13"/>
      <c r="E824" s="1"/>
      <c r="F824" s="1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3"/>
      <c r="D825" s="13"/>
      <c r="E825" s="1"/>
      <c r="F825" s="1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3"/>
      <c r="D826" s="13"/>
      <c r="E826" s="1"/>
      <c r="F826" s="1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3"/>
      <c r="D827" s="13"/>
      <c r="E827" s="1"/>
      <c r="F827" s="1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3"/>
      <c r="D828" s="13"/>
      <c r="E828" s="1"/>
      <c r="F828" s="1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3"/>
      <c r="D829" s="13"/>
      <c r="E829" s="1"/>
      <c r="F829" s="1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3"/>
      <c r="D830" s="13"/>
      <c r="E830" s="1"/>
      <c r="F830" s="1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3"/>
      <c r="D831" s="13"/>
      <c r="E831" s="1"/>
      <c r="F831" s="1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3"/>
      <c r="D832" s="13"/>
      <c r="E832" s="1"/>
      <c r="F832" s="1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3"/>
      <c r="D833" s="13"/>
      <c r="E833" s="1"/>
      <c r="F833" s="1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3"/>
      <c r="D834" s="13"/>
      <c r="E834" s="1"/>
      <c r="F834" s="1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3"/>
      <c r="D835" s="13"/>
      <c r="E835" s="1"/>
      <c r="F835" s="1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3"/>
      <c r="D836" s="13"/>
      <c r="E836" s="1"/>
      <c r="F836" s="1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3"/>
      <c r="D837" s="13"/>
      <c r="E837" s="1"/>
      <c r="F837" s="1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3"/>
      <c r="D838" s="13"/>
      <c r="E838" s="1"/>
      <c r="F838" s="1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3"/>
      <c r="D839" s="13"/>
      <c r="E839" s="1"/>
      <c r="F839" s="1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3"/>
      <c r="D840" s="13"/>
      <c r="E840" s="1"/>
      <c r="F840" s="1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3"/>
      <c r="D841" s="13"/>
      <c r="E841" s="1"/>
      <c r="F841" s="1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3"/>
      <c r="D842" s="13"/>
      <c r="E842" s="1"/>
      <c r="F842" s="1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3"/>
      <c r="D843" s="13"/>
      <c r="E843" s="1"/>
      <c r="F843" s="1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3"/>
      <c r="D844" s="13"/>
      <c r="E844" s="1"/>
      <c r="F844" s="1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3"/>
      <c r="D845" s="13"/>
      <c r="E845" s="1"/>
      <c r="F845" s="1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3"/>
      <c r="D846" s="13"/>
      <c r="E846" s="1"/>
      <c r="F846" s="1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3"/>
      <c r="D847" s="13"/>
      <c r="E847" s="1"/>
      <c r="F847" s="1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3"/>
      <c r="D848" s="13"/>
      <c r="E848" s="1"/>
      <c r="F848" s="1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3"/>
      <c r="D849" s="13"/>
      <c r="E849" s="1"/>
      <c r="F849" s="1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3"/>
      <c r="D850" s="13"/>
      <c r="E850" s="1"/>
      <c r="F850" s="1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3"/>
      <c r="D851" s="13"/>
      <c r="E851" s="1"/>
      <c r="F851" s="1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3"/>
      <c r="D852" s="13"/>
      <c r="E852" s="1"/>
      <c r="F852" s="1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3"/>
      <c r="D853" s="13"/>
      <c r="E853" s="1"/>
      <c r="F853" s="1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3"/>
      <c r="D854" s="13"/>
      <c r="E854" s="1"/>
      <c r="F854" s="1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3"/>
      <c r="D855" s="13"/>
      <c r="E855" s="1"/>
      <c r="F855" s="1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3"/>
      <c r="D856" s="13"/>
      <c r="E856" s="1"/>
      <c r="F856" s="1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3"/>
      <c r="D857" s="13"/>
      <c r="E857" s="1"/>
      <c r="F857" s="1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3"/>
      <c r="D858" s="13"/>
      <c r="E858" s="1"/>
      <c r="F858" s="1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3"/>
      <c r="D859" s="13"/>
      <c r="E859" s="1"/>
      <c r="F859" s="1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3"/>
      <c r="D860" s="13"/>
      <c r="E860" s="1"/>
      <c r="F860" s="1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3"/>
      <c r="D861" s="13"/>
      <c r="E861" s="1"/>
      <c r="F861" s="1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3"/>
      <c r="D862" s="13"/>
      <c r="E862" s="1"/>
      <c r="F862" s="1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3"/>
      <c r="D863" s="13"/>
      <c r="E863" s="1"/>
      <c r="F863" s="1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3"/>
      <c r="D864" s="13"/>
      <c r="E864" s="1"/>
      <c r="F864" s="1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3"/>
      <c r="D865" s="13"/>
      <c r="E865" s="1"/>
      <c r="F865" s="1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3"/>
      <c r="D866" s="13"/>
      <c r="E866" s="1"/>
      <c r="F866" s="1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3"/>
      <c r="D867" s="13"/>
      <c r="E867" s="1"/>
      <c r="F867" s="1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3"/>
      <c r="D868" s="13"/>
      <c r="E868" s="1"/>
      <c r="F868" s="1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3"/>
      <c r="D869" s="13"/>
      <c r="E869" s="1"/>
      <c r="F869" s="1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3"/>
      <c r="D870" s="13"/>
      <c r="E870" s="1"/>
      <c r="F870" s="1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3"/>
      <c r="D871" s="13"/>
      <c r="E871" s="1"/>
      <c r="F871" s="1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3"/>
      <c r="D872" s="13"/>
      <c r="E872" s="1"/>
      <c r="F872" s="1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3"/>
      <c r="D873" s="13"/>
      <c r="E873" s="1"/>
      <c r="F873" s="1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3"/>
      <c r="D874" s="13"/>
      <c r="E874" s="1"/>
      <c r="F874" s="1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3"/>
      <c r="D875" s="13"/>
      <c r="E875" s="1"/>
      <c r="F875" s="1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3"/>
      <c r="D876" s="13"/>
      <c r="E876" s="1"/>
      <c r="F876" s="1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3"/>
      <c r="D877" s="13"/>
      <c r="E877" s="1"/>
      <c r="F877" s="1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3"/>
      <c r="D878" s="13"/>
      <c r="E878" s="1"/>
      <c r="F878" s="1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3"/>
      <c r="D879" s="13"/>
      <c r="E879" s="1"/>
      <c r="F879" s="1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3"/>
      <c r="D880" s="13"/>
      <c r="E880" s="1"/>
      <c r="F880" s="1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3"/>
      <c r="D881" s="13"/>
      <c r="E881" s="1"/>
      <c r="F881" s="1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3"/>
      <c r="D882" s="13"/>
      <c r="E882" s="1"/>
      <c r="F882" s="1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3"/>
      <c r="D883" s="13"/>
      <c r="E883" s="1"/>
      <c r="F883" s="1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3"/>
      <c r="D884" s="13"/>
      <c r="E884" s="1"/>
      <c r="F884" s="1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3"/>
      <c r="D885" s="13"/>
      <c r="E885" s="1"/>
      <c r="F885" s="1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3"/>
      <c r="D886" s="13"/>
      <c r="E886" s="1"/>
      <c r="F886" s="1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3"/>
      <c r="D887" s="13"/>
      <c r="E887" s="1"/>
      <c r="F887" s="1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3"/>
      <c r="D888" s="13"/>
      <c r="E888" s="1"/>
      <c r="F888" s="1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3"/>
      <c r="D889" s="13"/>
      <c r="E889" s="1"/>
      <c r="F889" s="1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3"/>
      <c r="D890" s="13"/>
      <c r="E890" s="1"/>
      <c r="F890" s="1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3"/>
      <c r="D891" s="13"/>
      <c r="E891" s="1"/>
      <c r="F891" s="1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3"/>
      <c r="D892" s="13"/>
      <c r="E892" s="1"/>
      <c r="F892" s="1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3"/>
      <c r="D893" s="13"/>
      <c r="E893" s="1"/>
      <c r="F893" s="1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3"/>
      <c r="D894" s="13"/>
      <c r="E894" s="1"/>
      <c r="F894" s="1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3"/>
      <c r="D895" s="13"/>
      <c r="E895" s="1"/>
      <c r="F895" s="1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3"/>
      <c r="D896" s="13"/>
      <c r="E896" s="1"/>
      <c r="F896" s="1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3"/>
      <c r="D897" s="13"/>
      <c r="E897" s="1"/>
      <c r="F897" s="1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3"/>
      <c r="D898" s="13"/>
      <c r="E898" s="1"/>
      <c r="F898" s="1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3"/>
      <c r="D899" s="13"/>
      <c r="E899" s="1"/>
      <c r="F899" s="1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3"/>
      <c r="D900" s="13"/>
      <c r="E900" s="1"/>
      <c r="F900" s="1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3"/>
      <c r="D901" s="13"/>
      <c r="E901" s="1"/>
      <c r="F901" s="1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3"/>
      <c r="D902" s="13"/>
      <c r="E902" s="1"/>
      <c r="F902" s="1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3"/>
      <c r="D903" s="13"/>
      <c r="E903" s="1"/>
      <c r="F903" s="1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3"/>
      <c r="D904" s="13"/>
      <c r="E904" s="1"/>
      <c r="F904" s="1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3"/>
      <c r="D905" s="13"/>
      <c r="E905" s="1"/>
      <c r="F905" s="1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3"/>
      <c r="D906" s="13"/>
      <c r="E906" s="1"/>
      <c r="F906" s="1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3"/>
      <c r="D907" s="13"/>
      <c r="E907" s="1"/>
      <c r="F907" s="1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3"/>
      <c r="D908" s="13"/>
      <c r="E908" s="1"/>
      <c r="F908" s="1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3"/>
      <c r="D909" s="13"/>
      <c r="E909" s="1"/>
      <c r="F909" s="1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3"/>
      <c r="D910" s="13"/>
      <c r="E910" s="1"/>
      <c r="F910" s="1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3"/>
      <c r="D911" s="13"/>
      <c r="E911" s="1"/>
      <c r="F911" s="1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3"/>
      <c r="D912" s="13"/>
      <c r="E912" s="1"/>
      <c r="F912" s="1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3"/>
      <c r="D913" s="13"/>
      <c r="E913" s="1"/>
      <c r="F913" s="1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3"/>
      <c r="D914" s="13"/>
      <c r="E914" s="1"/>
      <c r="F914" s="1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3"/>
      <c r="D915" s="13"/>
      <c r="E915" s="1"/>
      <c r="F915" s="1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3"/>
      <c r="D916" s="13"/>
      <c r="E916" s="1"/>
      <c r="F916" s="1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3"/>
      <c r="D917" s="13"/>
      <c r="E917" s="1"/>
      <c r="F917" s="1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3"/>
      <c r="D918" s="13"/>
      <c r="E918" s="1"/>
      <c r="F918" s="1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3"/>
      <c r="D919" s="13"/>
      <c r="E919" s="1"/>
      <c r="F919" s="1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3"/>
      <c r="D920" s="13"/>
      <c r="E920" s="1"/>
      <c r="F920" s="1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3"/>
      <c r="D921" s="13"/>
      <c r="E921" s="1"/>
      <c r="F921" s="1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3"/>
      <c r="D922" s="13"/>
      <c r="E922" s="1"/>
      <c r="F922" s="1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3"/>
      <c r="D923" s="13"/>
      <c r="E923" s="1"/>
      <c r="F923" s="1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3"/>
      <c r="D924" s="13"/>
      <c r="E924" s="1"/>
      <c r="F924" s="1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3"/>
      <c r="D925" s="13"/>
      <c r="E925" s="1"/>
      <c r="F925" s="1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3"/>
      <c r="D926" s="13"/>
      <c r="E926" s="1"/>
      <c r="F926" s="1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3"/>
      <c r="D927" s="13"/>
      <c r="E927" s="1"/>
      <c r="F927" s="1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3"/>
      <c r="D928" s="13"/>
      <c r="E928" s="1"/>
      <c r="F928" s="1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3"/>
      <c r="D929" s="13"/>
      <c r="E929" s="1"/>
      <c r="F929" s="1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3"/>
      <c r="D930" s="13"/>
      <c r="E930" s="1"/>
      <c r="F930" s="1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3"/>
      <c r="D931" s="13"/>
      <c r="E931" s="1"/>
      <c r="F931" s="1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3"/>
      <c r="D932" s="13"/>
      <c r="E932" s="1"/>
      <c r="F932" s="1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3"/>
      <c r="D933" s="13"/>
      <c r="E933" s="1"/>
      <c r="F933" s="1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3"/>
      <c r="D934" s="13"/>
      <c r="E934" s="1"/>
      <c r="F934" s="1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3"/>
      <c r="D935" s="13"/>
      <c r="E935" s="1"/>
      <c r="F935" s="1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3"/>
      <c r="D936" s="13"/>
      <c r="E936" s="1"/>
      <c r="F936" s="1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3"/>
      <c r="D937" s="13"/>
      <c r="E937" s="1"/>
      <c r="F937" s="1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3"/>
      <c r="D938" s="13"/>
      <c r="E938" s="1"/>
      <c r="F938" s="1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3"/>
      <c r="D939" s="13"/>
      <c r="E939" s="1"/>
      <c r="F939" s="1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3"/>
      <c r="D940" s="13"/>
      <c r="E940" s="1"/>
      <c r="F940" s="1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3"/>
      <c r="D941" s="13"/>
      <c r="E941" s="1"/>
      <c r="F941" s="1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3"/>
      <c r="D942" s="13"/>
      <c r="E942" s="1"/>
      <c r="F942" s="1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3"/>
      <c r="D943" s="13"/>
      <c r="E943" s="1"/>
      <c r="F943" s="1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3"/>
      <c r="D944" s="13"/>
      <c r="E944" s="1"/>
      <c r="F944" s="1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3"/>
      <c r="D945" s="13"/>
      <c r="E945" s="1"/>
      <c r="F945" s="1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3"/>
      <c r="D946" s="13"/>
      <c r="E946" s="1"/>
      <c r="F946" s="1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3"/>
      <c r="D947" s="13"/>
      <c r="E947" s="1"/>
      <c r="F947" s="1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3"/>
      <c r="D948" s="13"/>
      <c r="E948" s="1"/>
      <c r="F948" s="1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3"/>
      <c r="D949" s="13"/>
      <c r="E949" s="1"/>
      <c r="F949" s="1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3"/>
      <c r="D950" s="13"/>
      <c r="E950" s="1"/>
      <c r="F950" s="1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3"/>
      <c r="D951" s="13"/>
      <c r="E951" s="1"/>
      <c r="F951" s="1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3"/>
      <c r="D952" s="13"/>
      <c r="E952" s="1"/>
      <c r="F952" s="1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3"/>
      <c r="D953" s="13"/>
      <c r="E953" s="1"/>
      <c r="F953" s="1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3"/>
      <c r="D954" s="13"/>
      <c r="E954" s="1"/>
      <c r="F954" s="1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3"/>
      <c r="D955" s="13"/>
      <c r="E955" s="1"/>
      <c r="F955" s="1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3"/>
      <c r="D956" s="13"/>
      <c r="E956" s="1"/>
      <c r="F956" s="1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3"/>
      <c r="D957" s="13"/>
      <c r="E957" s="1"/>
      <c r="F957" s="1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3"/>
      <c r="D958" s="13"/>
      <c r="E958" s="1"/>
      <c r="F958" s="1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3"/>
      <c r="D959" s="13"/>
      <c r="E959" s="1"/>
      <c r="F959" s="1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3"/>
      <c r="D960" s="13"/>
      <c r="E960" s="1"/>
      <c r="F960" s="1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3"/>
      <c r="D961" s="13"/>
      <c r="E961" s="1"/>
      <c r="F961" s="1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3"/>
      <c r="D962" s="13"/>
      <c r="E962" s="1"/>
      <c r="F962" s="1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3"/>
      <c r="D963" s="13"/>
      <c r="E963" s="1"/>
      <c r="F963" s="1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3"/>
      <c r="D964" s="13"/>
      <c r="E964" s="1"/>
      <c r="F964" s="1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3"/>
      <c r="D965" s="13"/>
      <c r="E965" s="1"/>
      <c r="F965" s="1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3"/>
      <c r="D966" s="13"/>
      <c r="E966" s="1"/>
      <c r="F966" s="1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3"/>
      <c r="D967" s="13"/>
      <c r="E967" s="1"/>
      <c r="F967" s="1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3"/>
      <c r="D968" s="13"/>
      <c r="E968" s="1"/>
      <c r="F968" s="1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3"/>
      <c r="D969" s="13"/>
      <c r="E969" s="1"/>
      <c r="F969" s="1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3"/>
      <c r="D970" s="13"/>
      <c r="E970" s="1"/>
      <c r="F970" s="1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3"/>
      <c r="D971" s="13"/>
      <c r="E971" s="1"/>
      <c r="F971" s="1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3"/>
      <c r="D972" s="13"/>
      <c r="E972" s="1"/>
      <c r="F972" s="1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3"/>
      <c r="D973" s="13"/>
      <c r="E973" s="1"/>
      <c r="F973" s="1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3"/>
      <c r="D974" s="13"/>
      <c r="E974" s="1"/>
      <c r="F974" s="1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3"/>
      <c r="D975" s="13"/>
      <c r="E975" s="1"/>
      <c r="F975" s="1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3"/>
      <c r="D976" s="13"/>
      <c r="E976" s="1"/>
      <c r="F976" s="1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3"/>
      <c r="D977" s="13"/>
      <c r="E977" s="1"/>
      <c r="F977" s="1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3"/>
      <c r="D978" s="13"/>
      <c r="E978" s="1"/>
      <c r="F978" s="1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3"/>
      <c r="D979" s="13"/>
      <c r="E979" s="1"/>
      <c r="F979" s="1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3"/>
      <c r="D980" s="13"/>
      <c r="E980" s="1"/>
      <c r="F980" s="1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3"/>
      <c r="D981" s="13"/>
      <c r="E981" s="1"/>
      <c r="F981" s="1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3"/>
      <c r="D982" s="13"/>
      <c r="E982" s="1"/>
      <c r="F982" s="1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3"/>
      <c r="D983" s="13"/>
      <c r="E983" s="1"/>
      <c r="F983" s="1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3"/>
      <c r="D984" s="13"/>
      <c r="E984" s="1"/>
      <c r="F984" s="1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3"/>
      <c r="D985" s="13"/>
      <c r="E985" s="1"/>
      <c r="F985" s="1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3"/>
      <c r="D986" s="13"/>
      <c r="E986" s="1"/>
      <c r="F986" s="1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3"/>
      <c r="D987" s="13"/>
      <c r="E987" s="1"/>
      <c r="F987" s="1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3"/>
      <c r="D988" s="13"/>
      <c r="E988" s="1"/>
      <c r="F988" s="1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3"/>
      <c r="D989" s="13"/>
      <c r="E989" s="1"/>
      <c r="F989" s="1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3"/>
      <c r="D990" s="13"/>
      <c r="E990" s="1"/>
      <c r="F990" s="1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3"/>
      <c r="D991" s="13"/>
      <c r="E991" s="1"/>
      <c r="F991" s="1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3"/>
      <c r="D992" s="13"/>
      <c r="E992" s="1"/>
      <c r="F992" s="1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3"/>
      <c r="D993" s="13"/>
      <c r="E993" s="1"/>
      <c r="F993" s="1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3"/>
      <c r="D994" s="13"/>
      <c r="E994" s="1"/>
      <c r="F994" s="1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3"/>
      <c r="D995" s="13"/>
      <c r="E995" s="1"/>
      <c r="F995" s="1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3"/>
      <c r="D996" s="13"/>
      <c r="E996" s="1"/>
      <c r="F996" s="1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3"/>
      <c r="D997" s="13"/>
      <c r="E997" s="1"/>
      <c r="F997" s="1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3"/>
      <c r="D998" s="13"/>
      <c r="E998" s="1"/>
      <c r="F998" s="1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3"/>
      <c r="D999" s="13"/>
      <c r="E999" s="1"/>
      <c r="F999" s="1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3"/>
      <c r="D1000" s="13"/>
      <c r="E1000" s="1"/>
      <c r="F1000" s="1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2:$P$12"/>
  <mergeCells count="61">
    <mergeCell ref="C93:D93"/>
    <mergeCell ref="B94:D94"/>
    <mergeCell ref="O97:P97"/>
    <mergeCell ref="N98:P98"/>
    <mergeCell ref="C106:D106"/>
    <mergeCell ref="F106:G106"/>
    <mergeCell ref="E107:G107"/>
    <mergeCell ref="I107:J107"/>
    <mergeCell ref="H108:J108"/>
    <mergeCell ref="L111:M111"/>
    <mergeCell ref="K112:M112"/>
    <mergeCell ref="O114:P114"/>
    <mergeCell ref="N115:P115"/>
    <mergeCell ref="F122:G122"/>
    <mergeCell ref="B2:O2"/>
    <mergeCell ref="B9:E9"/>
    <mergeCell ref="B10:E10"/>
    <mergeCell ref="B11:D11"/>
    <mergeCell ref="H11:J11"/>
    <mergeCell ref="K11:M11"/>
    <mergeCell ref="N11:P11"/>
    <mergeCell ref="E11:G11"/>
    <mergeCell ref="F23:G23"/>
    <mergeCell ref="E24:G24"/>
    <mergeCell ref="L26:M26"/>
    <mergeCell ref="I27:J27"/>
    <mergeCell ref="K27:M27"/>
    <mergeCell ref="H28:J28"/>
    <mergeCell ref="I39:J39"/>
    <mergeCell ref="H40:J40"/>
    <mergeCell ref="L40:M40"/>
    <mergeCell ref="C41:D41"/>
    <mergeCell ref="K41:M41"/>
    <mergeCell ref="F43:G43"/>
    <mergeCell ref="E44:G44"/>
    <mergeCell ref="I57:J57"/>
    <mergeCell ref="C58:D58"/>
    <mergeCell ref="H58:J58"/>
    <mergeCell ref="O58:P58"/>
    <mergeCell ref="N59:P59"/>
    <mergeCell ref="C68:D68"/>
    <mergeCell ref="B69:D69"/>
    <mergeCell ref="L69:M69"/>
    <mergeCell ref="K70:M70"/>
    <mergeCell ref="F75:G75"/>
    <mergeCell ref="E76:G76"/>
    <mergeCell ref="O78:P78"/>
    <mergeCell ref="N79:P79"/>
    <mergeCell ref="C82:D82"/>
    <mergeCell ref="B83:D83"/>
    <mergeCell ref="I83:J83"/>
    <mergeCell ref="H84:J84"/>
    <mergeCell ref="L86:M86"/>
    <mergeCell ref="K87:M87"/>
    <mergeCell ref="F89:G89"/>
    <mergeCell ref="E90:G90"/>
    <mergeCell ref="L128:M128"/>
    <mergeCell ref="I131:J131"/>
    <mergeCell ref="O132:P132"/>
    <mergeCell ref="N133:P133"/>
    <mergeCell ref="O163:P163"/>
  </mergeCells>
  <dataValidations>
    <dataValidation type="list" allowBlank="1" showErrorMessage="1" sqref="F13:F22 L13:L25 I13:I26 I29:I38 L28:L39 C13:C40 F25:F42 I41:I56 C43:C57 O13:O57 C60:C67 L42:L68 F45:F74 O60:O77 C70:C81 I59:I82 L71:L85 F77:F88 C84:C92 O80:O96 C95:C105 F91:F105 I85:I106 L88:L110 O99:O113 F108:F121 L113:L127 I109:I130 O116:O131 O134:O162">
      <formula1>"NA,Sim,Não,Às vezes"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7.43"/>
    <col customWidth="1" min="3" max="3" width="15.43"/>
    <col customWidth="1" min="4" max="4" width="19.0"/>
    <col customWidth="1" min="5" max="5" width="10.71"/>
    <col customWidth="1" min="6" max="6" width="14.0"/>
    <col customWidth="1" min="7" max="7" width="13.29"/>
    <col customWidth="1" min="8" max="8" width="27.86"/>
    <col customWidth="1" min="9" max="9" width="15.43"/>
    <col customWidth="1" min="10" max="10" width="13.57"/>
    <col customWidth="1" min="11" max="11" width="8.71"/>
    <col customWidth="1" min="12" max="12" width="9.14"/>
    <col customWidth="1" min="13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>
      <c r="C3" s="29"/>
      <c r="D3" s="30"/>
      <c r="F3" s="30"/>
      <c r="I3" s="29"/>
      <c r="J3" s="29"/>
      <c r="L3" s="29"/>
    </row>
    <row r="4">
      <c r="C4" s="29"/>
      <c r="D4" s="30"/>
      <c r="F4" s="30"/>
      <c r="I4" s="29"/>
      <c r="J4" s="29"/>
      <c r="L4" s="29"/>
    </row>
    <row r="5" ht="33.75" customHeight="1">
      <c r="A5" s="31"/>
      <c r="B5" s="32" t="s">
        <v>593</v>
      </c>
      <c r="C5" s="33">
        <f>((E31+K31+E41+K41+E51)/12)/6</f>
        <v>0.008928571429</v>
      </c>
      <c r="D5" s="30"/>
      <c r="E5" s="31"/>
      <c r="F5" s="30"/>
      <c r="G5" s="31"/>
      <c r="H5" s="31"/>
      <c r="I5" s="30"/>
      <c r="J5" s="30"/>
      <c r="K5" s="31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C6" s="13"/>
      <c r="D6" s="13"/>
      <c r="E6" s="34"/>
      <c r="F6" s="13"/>
      <c r="I6" s="29"/>
      <c r="J6" s="29"/>
      <c r="L6" s="29"/>
    </row>
    <row r="7" ht="18.75" customHeight="1">
      <c r="B7" s="35" t="s">
        <v>594</v>
      </c>
      <c r="C7" s="36"/>
      <c r="D7" s="13"/>
      <c r="E7" s="34"/>
      <c r="F7" s="13"/>
      <c r="I7" s="29"/>
      <c r="J7" s="29"/>
      <c r="L7" s="29"/>
    </row>
    <row r="8">
      <c r="B8" s="37" t="str">
        <f t="shared" ref="B8:B12" si="1">B17</f>
        <v>SOCIALIZAÇÃO</v>
      </c>
      <c r="C8" s="38">
        <f>E32</f>
        <v>0.05357142857</v>
      </c>
      <c r="D8" s="13"/>
      <c r="E8" s="34"/>
      <c r="F8" s="13"/>
      <c r="I8" s="29"/>
      <c r="J8" s="29"/>
      <c r="L8" s="29"/>
    </row>
    <row r="9">
      <c r="B9" s="37" t="str">
        <f t="shared" si="1"/>
        <v>LINGUAGEM</v>
      </c>
      <c r="C9" s="38">
        <f>K32</f>
        <v>0</v>
      </c>
      <c r="D9" s="13"/>
      <c r="E9" s="34"/>
      <c r="F9" s="13"/>
      <c r="I9" s="29"/>
      <c r="J9" s="29"/>
      <c r="L9" s="29"/>
    </row>
    <row r="10">
      <c r="B10" s="37" t="str">
        <f t="shared" si="1"/>
        <v>COGNIÇÃO</v>
      </c>
      <c r="C10" s="38">
        <f>E42</f>
        <v>0</v>
      </c>
      <c r="D10" s="13"/>
      <c r="E10" s="34"/>
      <c r="F10" s="13"/>
      <c r="I10" s="29"/>
      <c r="J10" s="29"/>
      <c r="L10" s="29"/>
    </row>
    <row r="11">
      <c r="B11" s="37" t="str">
        <f t="shared" si="1"/>
        <v>AUTOCUIDADOS</v>
      </c>
      <c r="C11" s="38">
        <f>K42</f>
        <v>0</v>
      </c>
      <c r="D11" s="13"/>
      <c r="E11" s="34"/>
      <c r="F11" s="13"/>
      <c r="I11" s="29"/>
      <c r="J11" s="29"/>
      <c r="L11" s="29"/>
    </row>
    <row r="12">
      <c r="B12" s="37" t="str">
        <f t="shared" si="1"/>
        <v>DESENVOLVIMENTO MOTOR</v>
      </c>
      <c r="C12" s="38">
        <f>E52</f>
        <v>0</v>
      </c>
      <c r="D12" s="13"/>
      <c r="E12" s="34"/>
      <c r="F12" s="13"/>
      <c r="I12" s="29"/>
      <c r="J12" s="29"/>
      <c r="L12" s="29"/>
    </row>
    <row r="13">
      <c r="C13" s="13"/>
      <c r="D13" s="13"/>
      <c r="E13" s="34"/>
      <c r="F13" s="13"/>
      <c r="I13" s="29"/>
      <c r="J13" s="29"/>
      <c r="L13" s="29"/>
    </row>
    <row r="14">
      <c r="B14" s="39" t="s">
        <v>595</v>
      </c>
      <c r="I14" s="29"/>
      <c r="J14" s="29"/>
      <c r="L14" s="29"/>
    </row>
    <row r="15" ht="18.75" customHeight="1">
      <c r="B15" s="40"/>
      <c r="C15" s="41" t="s">
        <v>596</v>
      </c>
      <c r="D15" s="42"/>
      <c r="E15" s="42"/>
      <c r="F15" s="42"/>
      <c r="G15" s="42"/>
      <c r="H15" s="36"/>
      <c r="I15" s="40"/>
      <c r="J15" s="29"/>
      <c r="L15" s="29"/>
    </row>
    <row r="16">
      <c r="A16" s="43"/>
      <c r="B16" s="44" t="s">
        <v>597</v>
      </c>
      <c r="C16" s="45" t="s">
        <v>598</v>
      </c>
      <c r="D16" s="45" t="s">
        <v>599</v>
      </c>
      <c r="E16" s="45" t="s">
        <v>600</v>
      </c>
      <c r="F16" s="45" t="s">
        <v>601</v>
      </c>
      <c r="G16" s="45" t="s">
        <v>602</v>
      </c>
      <c r="H16" s="45" t="s">
        <v>603</v>
      </c>
      <c r="I16" s="44" t="s">
        <v>604</v>
      </c>
      <c r="J16" s="43"/>
      <c r="K16" s="46"/>
      <c r="L16" s="47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B17" s="48" t="str">
        <f>B24</f>
        <v>SOCIALIZAÇÃO</v>
      </c>
      <c r="C17" s="49">
        <f>F25</f>
        <v>0.05357142857</v>
      </c>
      <c r="D17" s="49">
        <f>F26</f>
        <v>0</v>
      </c>
      <c r="E17" s="49">
        <f>F27</f>
        <v>0</v>
      </c>
      <c r="F17" s="49">
        <f>F28</f>
        <v>0</v>
      </c>
      <c r="G17" s="49">
        <f>F29</f>
        <v>0</v>
      </c>
      <c r="H17" s="49">
        <f>F30</f>
        <v>0</v>
      </c>
      <c r="I17" s="49">
        <f>F31</f>
        <v>0.01807228916</v>
      </c>
      <c r="J17" s="29"/>
      <c r="L17" s="29"/>
    </row>
    <row r="18">
      <c r="B18" s="48" t="str">
        <f>H24</f>
        <v>LINGUAGEM</v>
      </c>
      <c r="C18" s="49">
        <f>L25</f>
        <v>0</v>
      </c>
      <c r="D18" s="49">
        <f>L26</f>
        <v>0</v>
      </c>
      <c r="E18" s="49">
        <f>L27</f>
        <v>0</v>
      </c>
      <c r="F18" s="49">
        <f>L28</f>
        <v>0</v>
      </c>
      <c r="G18" s="49">
        <f>L29</f>
        <v>0</v>
      </c>
      <c r="H18" s="49">
        <f>L30</f>
        <v>0</v>
      </c>
      <c r="I18" s="49">
        <f>L31</f>
        <v>0</v>
      </c>
      <c r="J18" s="29"/>
      <c r="L18" s="29"/>
    </row>
    <row r="19">
      <c r="B19" s="48" t="str">
        <f>B34</f>
        <v>COGNIÇÃO</v>
      </c>
      <c r="C19" s="49">
        <f>F35</f>
        <v>0</v>
      </c>
      <c r="D19" s="49">
        <f>F36</f>
        <v>0</v>
      </c>
      <c r="E19" s="49">
        <f>F37</f>
        <v>0</v>
      </c>
      <c r="F19" s="49">
        <f>F38</f>
        <v>0</v>
      </c>
      <c r="G19" s="49">
        <f>F39</f>
        <v>0</v>
      </c>
      <c r="H19" s="49">
        <f>F40</f>
        <v>0</v>
      </c>
      <c r="I19" s="49">
        <f>F41</f>
        <v>0</v>
      </c>
      <c r="J19" s="29"/>
      <c r="L19" s="29"/>
    </row>
    <row r="20">
      <c r="B20" s="48" t="str">
        <f>H34</f>
        <v>AUTOCUIDADOS</v>
      </c>
      <c r="C20" s="49">
        <f>L35</f>
        <v>0</v>
      </c>
      <c r="D20" s="49">
        <f>L36</f>
        <v>0</v>
      </c>
      <c r="E20" s="49">
        <f>L37</f>
        <v>0</v>
      </c>
      <c r="F20" s="49">
        <f>L38</f>
        <v>0</v>
      </c>
      <c r="G20" s="49">
        <f>L39</f>
        <v>0</v>
      </c>
      <c r="H20" s="49">
        <f>L40</f>
        <v>0</v>
      </c>
      <c r="I20" s="49">
        <f>L41</f>
        <v>0</v>
      </c>
      <c r="J20" s="29"/>
      <c r="L20" s="29"/>
    </row>
    <row r="21" ht="15.75" customHeight="1">
      <c r="B21" s="48" t="str">
        <f>B44</f>
        <v>DESENVOLVIMENTO MOTOR</v>
      </c>
      <c r="C21" s="49">
        <f>F45</f>
        <v>0</v>
      </c>
      <c r="D21" s="49">
        <f>F46</f>
        <v>0</v>
      </c>
      <c r="E21" s="49">
        <f>F47</f>
        <v>0</v>
      </c>
      <c r="F21" s="49">
        <f>F48</f>
        <v>0</v>
      </c>
      <c r="G21" s="49">
        <f>F49</f>
        <v>0</v>
      </c>
      <c r="H21" s="49">
        <f>F50</f>
        <v>0</v>
      </c>
      <c r="I21" s="49">
        <f>F51</f>
        <v>0</v>
      </c>
      <c r="J21" s="29"/>
      <c r="L21" s="29"/>
    </row>
    <row r="22" ht="15.75" customHeight="1">
      <c r="C22" s="13"/>
      <c r="D22" s="13"/>
      <c r="E22" s="34"/>
      <c r="F22" s="13"/>
      <c r="I22" s="29"/>
      <c r="J22" s="29"/>
      <c r="L22" s="29"/>
    </row>
    <row r="23" ht="15.75" customHeight="1">
      <c r="C23" s="29"/>
      <c r="D23" s="30"/>
      <c r="F23" s="30"/>
      <c r="I23" s="29"/>
      <c r="J23" s="29"/>
      <c r="L23" s="29"/>
    </row>
    <row r="24" ht="15.75" customHeight="1">
      <c r="B24" s="50" t="s">
        <v>9</v>
      </c>
      <c r="C24" s="51" t="s">
        <v>605</v>
      </c>
      <c r="D24" s="51" t="s">
        <v>606</v>
      </c>
      <c r="E24" s="51" t="s">
        <v>607</v>
      </c>
      <c r="F24" s="51" t="s">
        <v>608</v>
      </c>
      <c r="H24" s="50" t="s">
        <v>10</v>
      </c>
      <c r="I24" s="51" t="s">
        <v>605</v>
      </c>
      <c r="J24" s="51" t="s">
        <v>606</v>
      </c>
      <c r="K24" s="51" t="s">
        <v>607</v>
      </c>
      <c r="L24" s="51" t="s">
        <v>608</v>
      </c>
    </row>
    <row r="25" ht="15.75" customHeight="1">
      <c r="B25" s="48" t="str">
        <f>'AV 1'!B12</f>
        <v>Socialização - 0 a 1 ano</v>
      </c>
      <c r="C25" s="52">
        <f>'AV 2'!C41</f>
        <v>1.5</v>
      </c>
      <c r="D25" s="52">
        <v>28.0</v>
      </c>
      <c r="E25" s="53">
        <f t="shared" ref="E25:E30" si="2">(C25*12)/D25</f>
        <v>0.6428571429</v>
      </c>
      <c r="F25" s="49">
        <f t="shared" ref="F25:F31" si="3">C25/D25</f>
        <v>0.05357142857</v>
      </c>
      <c r="H25" s="37" t="str">
        <f>'AV 1'!E12</f>
        <v>Linguagem – 0 a 1 anos</v>
      </c>
      <c r="I25" s="54">
        <f>'AV 2'!F23</f>
        <v>0</v>
      </c>
      <c r="J25" s="54">
        <v>10.0</v>
      </c>
      <c r="K25" s="53">
        <f t="shared" ref="K25:K30" si="4">(I25*12)/J25</f>
        <v>0</v>
      </c>
      <c r="L25" s="55">
        <f t="shared" ref="L25:L31" si="5">I25/J25</f>
        <v>0</v>
      </c>
    </row>
    <row r="26" ht="15.75" customHeight="1">
      <c r="B26" s="48" t="str">
        <f>'AV 1'!B42</f>
        <v>Socialização – 1 a 2 anos</v>
      </c>
      <c r="C26" s="52">
        <f>'AV 2'!C58</f>
        <v>0</v>
      </c>
      <c r="D26" s="52">
        <v>15.0</v>
      </c>
      <c r="E26" s="53">
        <f t="shared" si="2"/>
        <v>0</v>
      </c>
      <c r="F26" s="49">
        <f t="shared" si="3"/>
        <v>0</v>
      </c>
      <c r="H26" s="37" t="str">
        <f>'AV 1'!E24</f>
        <v>Linguagem – 1 a 2 anos</v>
      </c>
      <c r="I26" s="54">
        <f>'AV 2'!F43</f>
        <v>0</v>
      </c>
      <c r="J26" s="54">
        <v>18.0</v>
      </c>
      <c r="K26" s="53">
        <f t="shared" si="4"/>
        <v>0</v>
      </c>
      <c r="L26" s="55">
        <f t="shared" si="5"/>
        <v>0</v>
      </c>
    </row>
    <row r="27" ht="15.75" customHeight="1">
      <c r="B27" s="48" t="str">
        <f>'AV 1'!B59</f>
        <v>Socialização – 2 a 3 anos</v>
      </c>
      <c r="C27" s="52">
        <f>'AV 2'!C68</f>
        <v>0</v>
      </c>
      <c r="D27" s="52">
        <v>8.0</v>
      </c>
      <c r="E27" s="53">
        <f t="shared" si="2"/>
        <v>0</v>
      </c>
      <c r="F27" s="49">
        <f t="shared" si="3"/>
        <v>0</v>
      </c>
      <c r="H27" s="37" t="str">
        <f>'AV 1'!E44</f>
        <v>Linguagem – 2 a 3 anos</v>
      </c>
      <c r="I27" s="54">
        <f>'AV 2'!F75</f>
        <v>0</v>
      </c>
      <c r="J27" s="54">
        <v>30.0</v>
      </c>
      <c r="K27" s="53">
        <f t="shared" si="4"/>
        <v>0</v>
      </c>
      <c r="L27" s="55">
        <f t="shared" si="5"/>
        <v>0</v>
      </c>
    </row>
    <row r="28" ht="15.75" customHeight="1">
      <c r="B28" s="48" t="str">
        <f>'AV 1'!B69</f>
        <v>Socialização – 3 a 4 anos</v>
      </c>
      <c r="C28" s="52">
        <f>'AV 2'!C82</f>
        <v>0</v>
      </c>
      <c r="D28" s="52">
        <v>12.0</v>
      </c>
      <c r="E28" s="53">
        <f t="shared" si="2"/>
        <v>0</v>
      </c>
      <c r="F28" s="49">
        <f t="shared" si="3"/>
        <v>0</v>
      </c>
      <c r="H28" s="37" t="str">
        <f>'AV 1'!E76</f>
        <v>Linguagem – 3 a 4 anos</v>
      </c>
      <c r="I28" s="54">
        <f>'AV 2'!F89</f>
        <v>0</v>
      </c>
      <c r="J28" s="54">
        <v>12.0</v>
      </c>
      <c r="K28" s="53">
        <f t="shared" si="4"/>
        <v>0</v>
      </c>
      <c r="L28" s="55">
        <f t="shared" si="5"/>
        <v>0</v>
      </c>
    </row>
    <row r="29" ht="15.75" customHeight="1">
      <c r="B29" s="48" t="str">
        <f>'AV 1'!B83</f>
        <v>Socialização – 4 a 5 anos</v>
      </c>
      <c r="C29" s="52">
        <f>'AV 2'!C93</f>
        <v>0</v>
      </c>
      <c r="D29" s="52">
        <v>9.0</v>
      </c>
      <c r="E29" s="53">
        <f t="shared" si="2"/>
        <v>0</v>
      </c>
      <c r="F29" s="49">
        <f t="shared" si="3"/>
        <v>0</v>
      </c>
      <c r="H29" s="37" t="str">
        <f>'AV 1'!E90</f>
        <v>Linguagem – 4 a 5 anos</v>
      </c>
      <c r="I29" s="54">
        <f>'AV 2'!F106</f>
        <v>0</v>
      </c>
      <c r="J29" s="54">
        <v>15.0</v>
      </c>
      <c r="K29" s="53">
        <f t="shared" si="4"/>
        <v>0</v>
      </c>
      <c r="L29" s="55">
        <f t="shared" si="5"/>
        <v>0</v>
      </c>
    </row>
    <row r="30" ht="15.75" customHeight="1">
      <c r="B30" s="48" t="str">
        <f>'AV 1'!B94</f>
        <v>Socialização – 5 a 6 anos</v>
      </c>
      <c r="C30" s="52">
        <f>'AV 2'!C106</f>
        <v>0</v>
      </c>
      <c r="D30" s="52">
        <v>11.0</v>
      </c>
      <c r="E30" s="53">
        <f t="shared" si="2"/>
        <v>0</v>
      </c>
      <c r="F30" s="49">
        <f t="shared" si="3"/>
        <v>0</v>
      </c>
      <c r="H30" s="37" t="str">
        <f>'AV 1'!E107</f>
        <v>Linguagem – 5 a 6 anos</v>
      </c>
      <c r="I30" s="54">
        <f>'AV 2'!F122</f>
        <v>0</v>
      </c>
      <c r="J30" s="54">
        <v>14.0</v>
      </c>
      <c r="K30" s="53">
        <f t="shared" si="4"/>
        <v>0</v>
      </c>
      <c r="L30" s="55">
        <f t="shared" si="5"/>
        <v>0</v>
      </c>
    </row>
    <row r="31" ht="15.75" customHeight="1">
      <c r="B31" s="56" t="s">
        <v>609</v>
      </c>
      <c r="C31" s="51">
        <f t="shared" ref="C31:E31" si="6">SUM(C25:C30)</f>
        <v>1.5</v>
      </c>
      <c r="D31" s="51">
        <f t="shared" si="6"/>
        <v>83</v>
      </c>
      <c r="E31" s="57">
        <f t="shared" si="6"/>
        <v>0.6428571429</v>
      </c>
      <c r="F31" s="58">
        <f t="shared" si="3"/>
        <v>0.01807228916</v>
      </c>
      <c r="H31" s="56" t="s">
        <v>609</v>
      </c>
      <c r="I31" s="51">
        <f t="shared" ref="I31:K31" si="7">SUM(I25:I30)</f>
        <v>0</v>
      </c>
      <c r="J31" s="59">
        <f t="shared" si="7"/>
        <v>99</v>
      </c>
      <c r="K31" s="60">
        <f t="shared" si="7"/>
        <v>0</v>
      </c>
      <c r="L31" s="61">
        <f t="shared" si="5"/>
        <v>0</v>
      </c>
    </row>
    <row r="32" ht="21.0" customHeight="1">
      <c r="B32" s="62" t="s">
        <v>610</v>
      </c>
      <c r="C32" s="42"/>
      <c r="D32" s="36"/>
      <c r="E32" s="63">
        <f>E31/12</f>
        <v>0.05357142857</v>
      </c>
      <c r="F32" s="64"/>
      <c r="H32" s="62" t="s">
        <v>611</v>
      </c>
      <c r="I32" s="42"/>
      <c r="J32" s="36"/>
      <c r="K32" s="65">
        <f>K31/12</f>
        <v>0</v>
      </c>
      <c r="L32" s="66"/>
    </row>
    <row r="33" ht="15.75" customHeight="1">
      <c r="C33" s="29"/>
      <c r="D33" s="30"/>
      <c r="F33" s="30"/>
      <c r="I33" s="29"/>
      <c r="J33" s="29"/>
      <c r="L33" s="29"/>
    </row>
    <row r="34" ht="15.75" customHeight="1">
      <c r="B34" s="50" t="s">
        <v>11</v>
      </c>
      <c r="C34" s="51" t="s">
        <v>605</v>
      </c>
      <c r="D34" s="51" t="s">
        <v>606</v>
      </c>
      <c r="E34" s="51" t="s">
        <v>607</v>
      </c>
      <c r="F34" s="51" t="s">
        <v>608</v>
      </c>
      <c r="H34" s="50" t="s">
        <v>12</v>
      </c>
      <c r="I34" s="51" t="s">
        <v>605</v>
      </c>
      <c r="J34" s="51" t="s">
        <v>606</v>
      </c>
      <c r="K34" s="51" t="s">
        <v>607</v>
      </c>
      <c r="L34" s="51" t="s">
        <v>608</v>
      </c>
    </row>
    <row r="35" ht="15.75" customHeight="1">
      <c r="B35" s="37" t="str">
        <f>'AV 1'!H12</f>
        <v>Cognição – 0 a 1 ano</v>
      </c>
      <c r="C35" s="54">
        <f>'AV 2'!I27</f>
        <v>0</v>
      </c>
      <c r="D35" s="67">
        <v>14.0</v>
      </c>
      <c r="E35" s="53">
        <f t="shared" ref="E35:E40" si="8">(C35*12)/D35</f>
        <v>0</v>
      </c>
      <c r="F35" s="68">
        <f t="shared" ref="F35:F41" si="9">C35/D35</f>
        <v>0</v>
      </c>
      <c r="H35" s="37" t="str">
        <f>'AV 1'!K12</f>
        <v>Auto cuidados – 0 a 1 anos</v>
      </c>
      <c r="I35" s="54">
        <f>'AV 2'!L26</f>
        <v>0</v>
      </c>
      <c r="J35" s="54">
        <v>13.0</v>
      </c>
      <c r="K35" s="53">
        <f t="shared" ref="K35:K40" si="10">(I35*12)/J35</f>
        <v>0</v>
      </c>
      <c r="L35" s="55">
        <f t="shared" ref="L35:L41" si="11">I35/J35</f>
        <v>0</v>
      </c>
    </row>
    <row r="36" ht="15.75" customHeight="1">
      <c r="B36" s="37" t="str">
        <f>'AV 1'!H28</f>
        <v>Cognição – 1 a 2 anos</v>
      </c>
      <c r="C36" s="54">
        <f>'AV 2'!I39</f>
        <v>0</v>
      </c>
      <c r="D36" s="67">
        <v>10.0</v>
      </c>
      <c r="E36" s="53">
        <f t="shared" si="8"/>
        <v>0</v>
      </c>
      <c r="F36" s="68">
        <f t="shared" si="9"/>
        <v>0</v>
      </c>
      <c r="H36" s="37" t="str">
        <f>'AV 1'!K27</f>
        <v>Auto cuidados – 1 a 2 anos</v>
      </c>
      <c r="I36" s="54">
        <f>'AV 2'!L40</f>
        <v>0</v>
      </c>
      <c r="J36" s="54">
        <v>12.0</v>
      </c>
      <c r="K36" s="53">
        <f t="shared" si="10"/>
        <v>0</v>
      </c>
      <c r="L36" s="55">
        <f t="shared" si="11"/>
        <v>0</v>
      </c>
    </row>
    <row r="37" ht="15.75" customHeight="1">
      <c r="B37" s="37" t="str">
        <f>'AV 1'!H40</f>
        <v>Cognição – 2 a 3 anos</v>
      </c>
      <c r="C37" s="54">
        <f>'AV 2'!I57</f>
        <v>0</v>
      </c>
      <c r="D37" s="67">
        <v>16.0</v>
      </c>
      <c r="E37" s="53">
        <f t="shared" si="8"/>
        <v>0</v>
      </c>
      <c r="F37" s="68">
        <f t="shared" si="9"/>
        <v>0</v>
      </c>
      <c r="H37" s="37" t="str">
        <f>'AV 1'!K41</f>
        <v>Auto cuidados – 2 a 3 anos</v>
      </c>
      <c r="I37" s="54">
        <f>'AV 2'!L69</f>
        <v>0</v>
      </c>
      <c r="J37" s="54">
        <v>27.0</v>
      </c>
      <c r="K37" s="53">
        <f t="shared" si="10"/>
        <v>0</v>
      </c>
      <c r="L37" s="55">
        <f t="shared" si="11"/>
        <v>0</v>
      </c>
    </row>
    <row r="38" ht="15.75" customHeight="1">
      <c r="B38" s="37" t="str">
        <f>'AV 1'!H58</f>
        <v>Cognição – 3 a 4 anos</v>
      </c>
      <c r="C38" s="54">
        <f>'AV 2'!I83</f>
        <v>0</v>
      </c>
      <c r="D38" s="67">
        <v>24.0</v>
      </c>
      <c r="E38" s="53">
        <f t="shared" si="8"/>
        <v>0</v>
      </c>
      <c r="F38" s="68">
        <f t="shared" si="9"/>
        <v>0</v>
      </c>
      <c r="H38" s="37" t="str">
        <f>'AV 1'!K70</f>
        <v>Auto cuidados – 3 a 4 anos</v>
      </c>
      <c r="I38" s="54">
        <f>'AV 2'!L86</f>
        <v>0</v>
      </c>
      <c r="J38" s="54">
        <v>15.0</v>
      </c>
      <c r="K38" s="53">
        <f t="shared" si="10"/>
        <v>0</v>
      </c>
      <c r="L38" s="55">
        <f t="shared" si="11"/>
        <v>0</v>
      </c>
    </row>
    <row r="39" ht="15.75" customHeight="1">
      <c r="B39" s="37" t="str">
        <f>'AV 1'!H84</f>
        <v>Cognição – 4 a 5 anos</v>
      </c>
      <c r="C39" s="54">
        <f>'AV 2'!I107</f>
        <v>0</v>
      </c>
      <c r="D39" s="67">
        <v>22.0</v>
      </c>
      <c r="E39" s="53">
        <f t="shared" si="8"/>
        <v>0</v>
      </c>
      <c r="F39" s="68">
        <f t="shared" si="9"/>
        <v>0</v>
      </c>
      <c r="H39" s="37" t="str">
        <f>'AV 1'!K87</f>
        <v>Auto cuidados – 4 a 5 anos</v>
      </c>
      <c r="I39" s="54">
        <f>'AV 2'!L111</f>
        <v>0</v>
      </c>
      <c r="J39" s="54">
        <v>23.0</v>
      </c>
      <c r="K39" s="53">
        <f t="shared" si="10"/>
        <v>0</v>
      </c>
      <c r="L39" s="55">
        <f t="shared" si="11"/>
        <v>0</v>
      </c>
    </row>
    <row r="40" ht="15.75" customHeight="1">
      <c r="B40" s="37" t="str">
        <f>'AV 1'!H108</f>
        <v>Cognição – 5 a 6 anos</v>
      </c>
      <c r="C40" s="54">
        <f>'AV 2'!I131</f>
        <v>0</v>
      </c>
      <c r="D40" s="67">
        <v>22.0</v>
      </c>
      <c r="E40" s="53">
        <f t="shared" si="8"/>
        <v>0</v>
      </c>
      <c r="F40" s="68">
        <f t="shared" si="9"/>
        <v>0</v>
      </c>
      <c r="H40" s="37" t="str">
        <f>'AV 1'!K112</f>
        <v>Auto cuidados – 5 a 6 anos</v>
      </c>
      <c r="I40" s="54">
        <f>'AV 2'!L128</f>
        <v>0</v>
      </c>
      <c r="J40" s="54">
        <v>15.0</v>
      </c>
      <c r="K40" s="53">
        <f t="shared" si="10"/>
        <v>0</v>
      </c>
      <c r="L40" s="55">
        <f t="shared" si="11"/>
        <v>0</v>
      </c>
    </row>
    <row r="41" ht="17.25" customHeight="1">
      <c r="B41" s="56" t="s">
        <v>609</v>
      </c>
      <c r="C41" s="51">
        <f t="shared" ref="C41:E41" si="12">SUM(C35:C40)</f>
        <v>0</v>
      </c>
      <c r="D41" s="51">
        <f t="shared" si="12"/>
        <v>108</v>
      </c>
      <c r="E41" s="60">
        <f t="shared" si="12"/>
        <v>0</v>
      </c>
      <c r="F41" s="58">
        <f t="shared" si="9"/>
        <v>0</v>
      </c>
      <c r="H41" s="56" t="s">
        <v>609</v>
      </c>
      <c r="I41" s="51">
        <f t="shared" ref="I41:K41" si="13">SUM(I35:I40)</f>
        <v>0</v>
      </c>
      <c r="J41" s="59">
        <f t="shared" si="13"/>
        <v>105</v>
      </c>
      <c r="K41" s="60">
        <f t="shared" si="13"/>
        <v>0</v>
      </c>
      <c r="L41" s="61">
        <f t="shared" si="11"/>
        <v>0</v>
      </c>
    </row>
    <row r="42" ht="20.25" customHeight="1">
      <c r="B42" s="62" t="s">
        <v>612</v>
      </c>
      <c r="C42" s="42"/>
      <c r="D42" s="36"/>
      <c r="E42" s="65">
        <f>E41/12</f>
        <v>0</v>
      </c>
      <c r="F42" s="64"/>
      <c r="H42" s="62" t="s">
        <v>613</v>
      </c>
      <c r="I42" s="42"/>
      <c r="J42" s="36"/>
      <c r="K42" s="65">
        <f>K41/12</f>
        <v>0</v>
      </c>
      <c r="L42" s="66"/>
    </row>
    <row r="43" ht="15.75" customHeight="1">
      <c r="C43" s="29"/>
      <c r="D43" s="30"/>
      <c r="F43" s="30"/>
      <c r="I43" s="29"/>
      <c r="J43" s="29"/>
      <c r="L43" s="29"/>
    </row>
    <row r="44" ht="15.75" customHeight="1">
      <c r="B44" s="50" t="s">
        <v>13</v>
      </c>
      <c r="C44" s="51" t="s">
        <v>605</v>
      </c>
      <c r="D44" s="51" t="s">
        <v>606</v>
      </c>
      <c r="E44" s="51" t="s">
        <v>607</v>
      </c>
      <c r="F44" s="51" t="s">
        <v>608</v>
      </c>
      <c r="I44" s="29"/>
      <c r="J44" s="29"/>
      <c r="L44" s="29"/>
    </row>
    <row r="45" ht="15.75" customHeight="1">
      <c r="B45" s="37" t="str">
        <f>'AV 1'!N12</f>
        <v>Desenvolvimento Motor – 0 a 1 ano</v>
      </c>
      <c r="C45" s="54">
        <f>'AV 2'!O58</f>
        <v>0</v>
      </c>
      <c r="D45" s="67">
        <v>45.0</v>
      </c>
      <c r="E45" s="53">
        <f t="shared" ref="E45:E50" si="14">(C45*12)/D45</f>
        <v>0</v>
      </c>
      <c r="F45" s="68">
        <f t="shared" ref="F45:F51" si="15">C45/D45</f>
        <v>0</v>
      </c>
      <c r="I45" s="29"/>
      <c r="J45" s="29"/>
      <c r="L45" s="29"/>
    </row>
    <row r="46" ht="15.75" customHeight="1">
      <c r="B46" s="37" t="str">
        <f>'AV 1'!N59</f>
        <v>Desenvolvimento Motor – 1 a 2 anos</v>
      </c>
      <c r="C46" s="54">
        <f>'AV 2'!O78</f>
        <v>0</v>
      </c>
      <c r="D46" s="67">
        <v>18.0</v>
      </c>
      <c r="E46" s="53">
        <f t="shared" si="14"/>
        <v>0</v>
      </c>
      <c r="F46" s="68">
        <f t="shared" si="15"/>
        <v>0</v>
      </c>
      <c r="I46" s="29"/>
      <c r="J46" s="29"/>
      <c r="L46" s="29"/>
    </row>
    <row r="47" ht="15.75" customHeight="1">
      <c r="B47" s="37" t="str">
        <f>'AV 1'!N79</f>
        <v>Desenvolvimento Motor – 2 a 3 anos</v>
      </c>
      <c r="C47" s="54">
        <f>'AV 2'!O97</f>
        <v>0</v>
      </c>
      <c r="D47" s="67">
        <v>17.0</v>
      </c>
      <c r="E47" s="53">
        <f t="shared" si="14"/>
        <v>0</v>
      </c>
      <c r="F47" s="68">
        <f t="shared" si="15"/>
        <v>0</v>
      </c>
      <c r="I47" s="29"/>
      <c r="J47" s="29"/>
      <c r="L47" s="29"/>
    </row>
    <row r="48" ht="15.75" customHeight="1">
      <c r="B48" s="37" t="str">
        <f>'AV 1'!N98</f>
        <v>Desenvolvimento Motor – 3 a 4 ano</v>
      </c>
      <c r="C48" s="54">
        <f>'AV 2'!O114</f>
        <v>0</v>
      </c>
      <c r="D48" s="67">
        <v>15.0</v>
      </c>
      <c r="E48" s="53">
        <f t="shared" si="14"/>
        <v>0</v>
      </c>
      <c r="F48" s="68">
        <f t="shared" si="15"/>
        <v>0</v>
      </c>
      <c r="I48" s="29"/>
      <c r="J48" s="29"/>
      <c r="L48" s="29"/>
    </row>
    <row r="49" ht="15.75" customHeight="1">
      <c r="B49" s="37" t="str">
        <f>'AV 1'!N115</f>
        <v>Desenvolvimento Motor – 4 a 5 anos</v>
      </c>
      <c r="C49" s="54">
        <f>'AV 2'!O132</f>
        <v>0</v>
      </c>
      <c r="D49" s="67">
        <v>16.0</v>
      </c>
      <c r="E49" s="53">
        <f t="shared" si="14"/>
        <v>0</v>
      </c>
      <c r="F49" s="68">
        <f t="shared" si="15"/>
        <v>0</v>
      </c>
      <c r="I49" s="29"/>
      <c r="J49" s="29"/>
      <c r="L49" s="29"/>
    </row>
    <row r="50" ht="15.75" customHeight="1">
      <c r="B50" s="37" t="str">
        <f>'AV 1'!N133</f>
        <v>Desenvolvimento Motor – 5 a 6 anos</v>
      </c>
      <c r="C50" s="54">
        <f>'AV 2'!O163</f>
        <v>0</v>
      </c>
      <c r="D50" s="67">
        <v>29.0</v>
      </c>
      <c r="E50" s="53">
        <f t="shared" si="14"/>
        <v>0</v>
      </c>
      <c r="F50" s="68">
        <f t="shared" si="15"/>
        <v>0</v>
      </c>
      <c r="I50" s="29"/>
      <c r="J50" s="29"/>
      <c r="L50" s="29"/>
    </row>
    <row r="51" ht="18.75" customHeight="1">
      <c r="B51" s="56" t="s">
        <v>609</v>
      </c>
      <c r="C51" s="51">
        <f t="shared" ref="C51:E51" si="16">SUM(C45:C50)</f>
        <v>0</v>
      </c>
      <c r="D51" s="51">
        <f t="shared" si="16"/>
        <v>140</v>
      </c>
      <c r="E51" s="60">
        <f t="shared" si="16"/>
        <v>0</v>
      </c>
      <c r="F51" s="58">
        <f t="shared" si="15"/>
        <v>0</v>
      </c>
      <c r="I51" s="29"/>
      <c r="J51" s="29"/>
      <c r="L51" s="29"/>
    </row>
    <row r="52" ht="20.25" customHeight="1">
      <c r="B52" s="62" t="s">
        <v>614</v>
      </c>
      <c r="C52" s="42"/>
      <c r="D52" s="36"/>
      <c r="E52" s="65">
        <f>E51/12</f>
        <v>0</v>
      </c>
      <c r="F52" s="64"/>
      <c r="I52" s="29"/>
      <c r="J52" s="29"/>
      <c r="L52" s="29"/>
    </row>
    <row r="53" ht="15.75" customHeight="1">
      <c r="C53" s="29"/>
      <c r="D53" s="30"/>
      <c r="F53" s="30"/>
      <c r="I53" s="29"/>
      <c r="J53" s="29"/>
      <c r="L53" s="29"/>
    </row>
    <row r="54" ht="15.75" customHeight="1">
      <c r="C54" s="29"/>
      <c r="D54" s="30"/>
      <c r="F54" s="30"/>
      <c r="I54" s="29"/>
      <c r="J54" s="29"/>
      <c r="L54" s="29"/>
    </row>
    <row r="55" ht="15.75" customHeight="1">
      <c r="C55" s="29"/>
      <c r="D55" s="30"/>
      <c r="F55" s="30"/>
      <c r="I55" s="29"/>
      <c r="J55" s="29"/>
      <c r="L55" s="29"/>
    </row>
    <row r="56" ht="15.75" customHeight="1">
      <c r="C56" s="29"/>
      <c r="D56" s="30"/>
      <c r="F56" s="30"/>
      <c r="I56" s="29"/>
      <c r="J56" s="29"/>
      <c r="L56" s="29"/>
    </row>
    <row r="57" ht="15.75" customHeight="1">
      <c r="C57" s="29"/>
      <c r="D57" s="30"/>
      <c r="F57" s="30"/>
      <c r="I57" s="29"/>
      <c r="J57" s="29"/>
      <c r="L57" s="29"/>
    </row>
    <row r="58" ht="15.75" customHeight="1">
      <c r="C58" s="29"/>
      <c r="D58" s="30"/>
      <c r="F58" s="30"/>
      <c r="I58" s="29"/>
      <c r="J58" s="29"/>
      <c r="L58" s="29"/>
    </row>
    <row r="59" ht="15.75" customHeight="1">
      <c r="C59" s="29"/>
      <c r="D59" s="30"/>
      <c r="F59" s="30"/>
      <c r="I59" s="29"/>
      <c r="J59" s="29"/>
      <c r="L59" s="29"/>
    </row>
    <row r="60" ht="15.75" customHeight="1">
      <c r="C60" s="29"/>
      <c r="D60" s="30"/>
      <c r="F60" s="30"/>
      <c r="I60" s="29"/>
      <c r="J60" s="29"/>
      <c r="L60" s="29"/>
    </row>
    <row r="61" ht="15.75" customHeight="1">
      <c r="C61" s="29"/>
      <c r="D61" s="30"/>
      <c r="F61" s="30"/>
      <c r="I61" s="29"/>
      <c r="J61" s="29"/>
      <c r="L61" s="29"/>
    </row>
    <row r="62" ht="15.75" customHeight="1">
      <c r="C62" s="29"/>
      <c r="D62" s="30"/>
      <c r="F62" s="30"/>
      <c r="I62" s="29"/>
      <c r="J62" s="29"/>
      <c r="L62" s="29"/>
    </row>
    <row r="63" ht="15.75" customHeight="1">
      <c r="C63" s="29"/>
      <c r="D63" s="30"/>
      <c r="F63" s="30"/>
      <c r="I63" s="29"/>
      <c r="J63" s="29"/>
      <c r="L63" s="29"/>
    </row>
    <row r="64" ht="15.75" customHeight="1">
      <c r="C64" s="29"/>
      <c r="D64" s="30"/>
      <c r="F64" s="30"/>
      <c r="I64" s="29"/>
      <c r="J64" s="29"/>
      <c r="L64" s="29"/>
    </row>
    <row r="65" ht="15.75" customHeight="1">
      <c r="C65" s="29"/>
      <c r="D65" s="30"/>
      <c r="F65" s="30"/>
      <c r="I65" s="29"/>
      <c r="J65" s="29"/>
      <c r="L65" s="29"/>
    </row>
    <row r="66" ht="15.75" customHeight="1">
      <c r="C66" s="29"/>
      <c r="D66" s="30"/>
      <c r="F66" s="30"/>
      <c r="I66" s="29"/>
      <c r="J66" s="29"/>
      <c r="L66" s="29"/>
    </row>
    <row r="67" ht="15.75" customHeight="1">
      <c r="C67" s="29"/>
      <c r="D67" s="30"/>
      <c r="F67" s="30"/>
      <c r="I67" s="29"/>
      <c r="J67" s="29"/>
      <c r="L67" s="29"/>
    </row>
    <row r="68" ht="15.75" customHeight="1">
      <c r="C68" s="29"/>
      <c r="D68" s="30"/>
      <c r="F68" s="30"/>
      <c r="I68" s="29"/>
      <c r="J68" s="29"/>
      <c r="L68" s="29"/>
    </row>
    <row r="69" ht="15.75" customHeight="1">
      <c r="C69" s="29"/>
      <c r="D69" s="30"/>
      <c r="F69" s="30"/>
      <c r="I69" s="29"/>
      <c r="J69" s="29"/>
      <c r="L69" s="29"/>
    </row>
    <row r="70" ht="15.75" customHeight="1">
      <c r="C70" s="29"/>
      <c r="D70" s="30"/>
      <c r="F70" s="30"/>
      <c r="I70" s="29"/>
      <c r="J70" s="29"/>
      <c r="L70" s="29"/>
    </row>
    <row r="71" ht="15.75" customHeight="1">
      <c r="C71" s="29"/>
      <c r="D71" s="30"/>
      <c r="F71" s="30"/>
      <c r="I71" s="29"/>
      <c r="J71" s="29"/>
      <c r="L71" s="29"/>
    </row>
    <row r="72" ht="15.75" customHeight="1">
      <c r="C72" s="29"/>
      <c r="D72" s="30"/>
      <c r="F72" s="30"/>
      <c r="I72" s="29"/>
      <c r="J72" s="29"/>
      <c r="L72" s="29"/>
    </row>
    <row r="73" ht="15.75" customHeight="1">
      <c r="C73" s="29"/>
      <c r="D73" s="30"/>
      <c r="F73" s="30"/>
      <c r="I73" s="29"/>
      <c r="J73" s="29"/>
      <c r="L73" s="29"/>
    </row>
    <row r="74" ht="15.75" customHeight="1">
      <c r="C74" s="29"/>
      <c r="D74" s="30"/>
      <c r="F74" s="30"/>
      <c r="I74" s="29"/>
      <c r="J74" s="29"/>
      <c r="L74" s="29"/>
    </row>
    <row r="75" ht="15.75" customHeight="1">
      <c r="C75" s="29"/>
      <c r="D75" s="30"/>
      <c r="F75" s="30"/>
      <c r="I75" s="29"/>
      <c r="J75" s="29"/>
      <c r="L75" s="29"/>
    </row>
    <row r="76" ht="15.75" customHeight="1">
      <c r="C76" s="29"/>
      <c r="D76" s="30"/>
      <c r="F76" s="30"/>
      <c r="I76" s="29"/>
      <c r="J76" s="29"/>
      <c r="L76" s="29"/>
    </row>
    <row r="77" ht="15.75" customHeight="1">
      <c r="C77" s="29"/>
      <c r="D77" s="30"/>
      <c r="F77" s="30"/>
      <c r="I77" s="29"/>
      <c r="J77" s="29"/>
      <c r="L77" s="29"/>
    </row>
    <row r="78" ht="15.75" customHeight="1">
      <c r="C78" s="29"/>
      <c r="D78" s="30"/>
      <c r="F78" s="30"/>
      <c r="I78" s="29"/>
      <c r="J78" s="29"/>
      <c r="L78" s="29"/>
    </row>
    <row r="79" ht="15.75" customHeight="1">
      <c r="C79" s="29"/>
      <c r="D79" s="30"/>
      <c r="F79" s="30"/>
      <c r="I79" s="29"/>
      <c r="J79" s="29"/>
      <c r="L79" s="29"/>
    </row>
    <row r="80" ht="15.75" customHeight="1">
      <c r="C80" s="29"/>
      <c r="D80" s="30"/>
      <c r="F80" s="30"/>
      <c r="I80" s="29"/>
      <c r="J80" s="29"/>
      <c r="L80" s="29"/>
    </row>
    <row r="81" ht="15.75" customHeight="1">
      <c r="C81" s="29"/>
      <c r="D81" s="30"/>
      <c r="F81" s="30"/>
      <c r="I81" s="29"/>
      <c r="J81" s="29"/>
      <c r="L81" s="29"/>
    </row>
    <row r="82" ht="15.75" customHeight="1">
      <c r="C82" s="29"/>
      <c r="D82" s="30"/>
      <c r="F82" s="30"/>
      <c r="I82" s="29"/>
      <c r="J82" s="29"/>
      <c r="L82" s="29"/>
    </row>
    <row r="83" ht="15.75" customHeight="1">
      <c r="C83" s="29"/>
      <c r="D83" s="30"/>
      <c r="F83" s="30"/>
      <c r="I83" s="29"/>
      <c r="J83" s="29"/>
      <c r="L83" s="29"/>
    </row>
    <row r="84" ht="15.75" customHeight="1">
      <c r="C84" s="29"/>
      <c r="D84" s="30"/>
      <c r="F84" s="30"/>
      <c r="I84" s="29"/>
      <c r="J84" s="29"/>
      <c r="L84" s="29"/>
    </row>
    <row r="85" ht="15.75" customHeight="1">
      <c r="C85" s="29"/>
      <c r="D85" s="30"/>
      <c r="F85" s="30"/>
      <c r="I85" s="29"/>
      <c r="J85" s="29"/>
      <c r="L85" s="29"/>
    </row>
    <row r="86" ht="15.75" customHeight="1">
      <c r="C86" s="29"/>
      <c r="D86" s="30"/>
      <c r="F86" s="30"/>
      <c r="I86" s="29"/>
      <c r="J86" s="29"/>
      <c r="L86" s="29"/>
    </row>
    <row r="87" ht="15.75" customHeight="1">
      <c r="C87" s="29"/>
      <c r="D87" s="30"/>
      <c r="F87" s="30"/>
      <c r="I87" s="29"/>
      <c r="J87" s="29"/>
      <c r="L87" s="29"/>
    </row>
    <row r="88" ht="15.75" customHeight="1">
      <c r="C88" s="29"/>
      <c r="D88" s="30"/>
      <c r="F88" s="30"/>
      <c r="I88" s="29"/>
      <c r="J88" s="29"/>
      <c r="L88" s="29"/>
    </row>
    <row r="89" ht="15.75" customHeight="1">
      <c r="C89" s="29"/>
      <c r="D89" s="30"/>
      <c r="F89" s="30"/>
      <c r="I89" s="29"/>
      <c r="J89" s="29"/>
      <c r="L89" s="29"/>
    </row>
    <row r="90" ht="15.75" customHeight="1">
      <c r="C90" s="29"/>
      <c r="D90" s="30"/>
      <c r="F90" s="30"/>
      <c r="I90" s="29"/>
      <c r="J90" s="29"/>
      <c r="L90" s="29"/>
    </row>
    <row r="91" ht="15.75" customHeight="1">
      <c r="C91" s="29"/>
      <c r="D91" s="30"/>
      <c r="F91" s="30"/>
      <c r="I91" s="29"/>
      <c r="J91" s="29"/>
      <c r="L91" s="29"/>
    </row>
    <row r="92" ht="15.75" customHeight="1">
      <c r="C92" s="29"/>
      <c r="D92" s="30"/>
      <c r="F92" s="30"/>
      <c r="I92" s="29"/>
      <c r="J92" s="29"/>
      <c r="L92" s="29"/>
    </row>
    <row r="93" ht="15.75" customHeight="1">
      <c r="C93" s="29"/>
      <c r="D93" s="30"/>
      <c r="F93" s="30"/>
      <c r="I93" s="29"/>
      <c r="J93" s="29"/>
      <c r="L93" s="29"/>
    </row>
    <row r="94" ht="15.75" customHeight="1">
      <c r="C94" s="29"/>
      <c r="D94" s="30"/>
      <c r="F94" s="30"/>
      <c r="I94" s="29"/>
      <c r="J94" s="29"/>
      <c r="L94" s="29"/>
    </row>
    <row r="95" ht="15.75" customHeight="1">
      <c r="C95" s="29"/>
      <c r="D95" s="30"/>
      <c r="F95" s="30"/>
      <c r="I95" s="29"/>
      <c r="J95" s="29"/>
      <c r="L95" s="29"/>
    </row>
    <row r="96" ht="15.75" customHeight="1">
      <c r="C96" s="29"/>
      <c r="D96" s="30"/>
      <c r="F96" s="30"/>
      <c r="I96" s="29"/>
      <c r="J96" s="29"/>
      <c r="L96" s="29"/>
    </row>
    <row r="97" ht="15.75" customHeight="1">
      <c r="C97" s="29"/>
      <c r="D97" s="30"/>
      <c r="F97" s="30"/>
      <c r="I97" s="29"/>
      <c r="J97" s="29"/>
      <c r="L97" s="29"/>
    </row>
    <row r="98" ht="15.75" customHeight="1">
      <c r="C98" s="29"/>
      <c r="D98" s="30"/>
      <c r="F98" s="30"/>
      <c r="I98" s="29"/>
      <c r="J98" s="29"/>
      <c r="L98" s="29"/>
    </row>
    <row r="99" ht="15.75" customHeight="1">
      <c r="C99" s="29"/>
      <c r="D99" s="30"/>
      <c r="F99" s="30"/>
      <c r="I99" s="29"/>
      <c r="J99" s="29"/>
      <c r="L99" s="29"/>
    </row>
    <row r="100" ht="15.75" customHeight="1">
      <c r="C100" s="29"/>
      <c r="D100" s="30"/>
      <c r="F100" s="30"/>
      <c r="I100" s="29"/>
      <c r="J100" s="29"/>
      <c r="L100" s="29"/>
    </row>
    <row r="101" ht="15.75" customHeight="1">
      <c r="C101" s="29"/>
      <c r="D101" s="30"/>
      <c r="F101" s="30"/>
      <c r="I101" s="29"/>
      <c r="J101" s="29"/>
      <c r="L101" s="29"/>
    </row>
    <row r="102" ht="15.75" customHeight="1">
      <c r="C102" s="29"/>
      <c r="D102" s="30"/>
      <c r="F102" s="30"/>
      <c r="I102" s="29"/>
      <c r="J102" s="29"/>
      <c r="L102" s="29"/>
    </row>
    <row r="103" ht="15.75" customHeight="1">
      <c r="C103" s="29"/>
      <c r="D103" s="30"/>
      <c r="F103" s="30"/>
      <c r="I103" s="29"/>
      <c r="J103" s="29"/>
      <c r="L103" s="29"/>
    </row>
    <row r="104" ht="15.75" customHeight="1">
      <c r="C104" s="29"/>
      <c r="D104" s="30"/>
      <c r="F104" s="30"/>
      <c r="I104" s="29"/>
      <c r="J104" s="29"/>
      <c r="L104" s="29"/>
    </row>
    <row r="105" ht="15.75" customHeight="1">
      <c r="C105" s="29"/>
      <c r="D105" s="30"/>
      <c r="F105" s="30"/>
      <c r="I105" s="29"/>
      <c r="J105" s="29"/>
      <c r="L105" s="29"/>
    </row>
    <row r="106" ht="15.75" customHeight="1">
      <c r="C106" s="29"/>
      <c r="D106" s="30"/>
      <c r="F106" s="30"/>
      <c r="I106" s="29"/>
      <c r="J106" s="29"/>
      <c r="L106" s="29"/>
    </row>
    <row r="107" ht="15.75" customHeight="1">
      <c r="C107" s="29"/>
      <c r="D107" s="30"/>
      <c r="F107" s="30"/>
      <c r="I107" s="29"/>
      <c r="J107" s="29"/>
      <c r="L107" s="29"/>
    </row>
    <row r="108" ht="15.75" customHeight="1">
      <c r="C108" s="29"/>
      <c r="D108" s="30"/>
      <c r="F108" s="30"/>
      <c r="I108" s="29"/>
      <c r="J108" s="29"/>
      <c r="L108" s="29"/>
    </row>
    <row r="109" ht="15.75" customHeight="1">
      <c r="C109" s="29"/>
      <c r="D109" s="30"/>
      <c r="F109" s="30"/>
      <c r="I109" s="29"/>
      <c r="J109" s="29"/>
      <c r="L109" s="29"/>
    </row>
    <row r="110" ht="15.75" customHeight="1">
      <c r="C110" s="29"/>
      <c r="D110" s="30"/>
      <c r="F110" s="30"/>
      <c r="I110" s="29"/>
      <c r="J110" s="29"/>
      <c r="L110" s="29"/>
    </row>
    <row r="111" ht="15.75" customHeight="1">
      <c r="C111" s="29"/>
      <c r="D111" s="30"/>
      <c r="F111" s="30"/>
      <c r="I111" s="29"/>
      <c r="J111" s="29"/>
      <c r="L111" s="29"/>
    </row>
    <row r="112" ht="15.75" customHeight="1">
      <c r="C112" s="29"/>
      <c r="D112" s="30"/>
      <c r="F112" s="30"/>
      <c r="I112" s="29"/>
      <c r="J112" s="29"/>
      <c r="L112" s="29"/>
    </row>
    <row r="113" ht="15.75" customHeight="1">
      <c r="C113" s="29"/>
      <c r="D113" s="30"/>
      <c r="F113" s="30"/>
      <c r="I113" s="29"/>
      <c r="J113" s="29"/>
      <c r="L113" s="29"/>
    </row>
    <row r="114" ht="15.75" customHeight="1">
      <c r="C114" s="29"/>
      <c r="D114" s="30"/>
      <c r="F114" s="30"/>
      <c r="I114" s="29"/>
      <c r="J114" s="29"/>
      <c r="L114" s="29"/>
    </row>
    <row r="115" ht="15.75" customHeight="1">
      <c r="C115" s="29"/>
      <c r="D115" s="30"/>
      <c r="F115" s="30"/>
      <c r="I115" s="29"/>
      <c r="J115" s="29"/>
      <c r="L115" s="29"/>
    </row>
    <row r="116" ht="15.75" customHeight="1">
      <c r="C116" s="29"/>
      <c r="D116" s="30"/>
      <c r="F116" s="30"/>
      <c r="I116" s="29"/>
      <c r="J116" s="29"/>
      <c r="L116" s="29"/>
    </row>
    <row r="117" ht="15.75" customHeight="1">
      <c r="C117" s="29"/>
      <c r="D117" s="30"/>
      <c r="F117" s="30"/>
      <c r="I117" s="29"/>
      <c r="J117" s="29"/>
      <c r="L117" s="29"/>
    </row>
    <row r="118" ht="15.75" customHeight="1">
      <c r="C118" s="29"/>
      <c r="D118" s="30"/>
      <c r="F118" s="30"/>
      <c r="I118" s="29"/>
      <c r="J118" s="29"/>
      <c r="L118" s="29"/>
    </row>
    <row r="119" ht="15.75" customHeight="1">
      <c r="C119" s="29"/>
      <c r="D119" s="30"/>
      <c r="F119" s="30"/>
      <c r="I119" s="29"/>
      <c r="J119" s="29"/>
      <c r="L119" s="29"/>
    </row>
    <row r="120" ht="15.75" customHeight="1">
      <c r="C120" s="29"/>
      <c r="D120" s="30"/>
      <c r="F120" s="30"/>
      <c r="I120" s="29"/>
      <c r="J120" s="29"/>
      <c r="L120" s="29"/>
    </row>
    <row r="121" ht="15.75" customHeight="1">
      <c r="C121" s="29"/>
      <c r="D121" s="30"/>
      <c r="F121" s="30"/>
      <c r="I121" s="29"/>
      <c r="J121" s="29"/>
      <c r="L121" s="29"/>
    </row>
    <row r="122" ht="15.75" customHeight="1">
      <c r="C122" s="29"/>
      <c r="D122" s="30"/>
      <c r="F122" s="30"/>
      <c r="I122" s="29"/>
      <c r="J122" s="29"/>
      <c r="L122" s="29"/>
    </row>
    <row r="123" ht="15.75" customHeight="1">
      <c r="C123" s="29"/>
      <c r="D123" s="30"/>
      <c r="F123" s="30"/>
      <c r="I123" s="29"/>
      <c r="J123" s="29"/>
      <c r="L123" s="29"/>
    </row>
    <row r="124" ht="15.75" customHeight="1">
      <c r="C124" s="29"/>
      <c r="D124" s="30"/>
      <c r="F124" s="30"/>
      <c r="I124" s="29"/>
      <c r="J124" s="29"/>
      <c r="L124" s="29"/>
    </row>
    <row r="125" ht="15.75" customHeight="1">
      <c r="C125" s="29"/>
      <c r="D125" s="30"/>
      <c r="F125" s="30"/>
      <c r="I125" s="29"/>
      <c r="J125" s="29"/>
      <c r="L125" s="29"/>
    </row>
    <row r="126" ht="15.75" customHeight="1">
      <c r="C126" s="29"/>
      <c r="D126" s="30"/>
      <c r="F126" s="30"/>
      <c r="I126" s="29"/>
      <c r="J126" s="29"/>
      <c r="L126" s="29"/>
    </row>
    <row r="127" ht="15.75" customHeight="1">
      <c r="C127" s="29"/>
      <c r="D127" s="30"/>
      <c r="F127" s="30"/>
      <c r="I127" s="29"/>
      <c r="J127" s="29"/>
      <c r="L127" s="29"/>
    </row>
    <row r="128" ht="15.75" customHeight="1">
      <c r="C128" s="29"/>
      <c r="D128" s="30"/>
      <c r="F128" s="30"/>
      <c r="I128" s="29"/>
      <c r="J128" s="29"/>
      <c r="L128" s="29"/>
    </row>
    <row r="129" ht="15.75" customHeight="1">
      <c r="C129" s="29"/>
      <c r="D129" s="30"/>
      <c r="F129" s="30"/>
      <c r="I129" s="29"/>
      <c r="J129" s="29"/>
      <c r="L129" s="29"/>
    </row>
    <row r="130" ht="15.75" customHeight="1">
      <c r="C130" s="29"/>
      <c r="D130" s="30"/>
      <c r="F130" s="30"/>
      <c r="I130" s="29"/>
      <c r="J130" s="29"/>
      <c r="L130" s="29"/>
    </row>
    <row r="131" ht="15.75" customHeight="1">
      <c r="C131" s="29"/>
      <c r="D131" s="30"/>
      <c r="F131" s="30"/>
      <c r="I131" s="29"/>
      <c r="J131" s="29"/>
      <c r="L131" s="29"/>
    </row>
    <row r="132" ht="15.75" customHeight="1">
      <c r="C132" s="29"/>
      <c r="D132" s="30"/>
      <c r="F132" s="30"/>
      <c r="I132" s="29"/>
      <c r="J132" s="29"/>
      <c r="L132" s="29"/>
    </row>
    <row r="133" ht="15.75" customHeight="1">
      <c r="C133" s="29"/>
      <c r="D133" s="30"/>
      <c r="F133" s="30"/>
      <c r="I133" s="29"/>
      <c r="J133" s="29"/>
      <c r="L133" s="29"/>
    </row>
    <row r="134" ht="15.75" customHeight="1">
      <c r="C134" s="29"/>
      <c r="D134" s="30"/>
      <c r="F134" s="30"/>
      <c r="I134" s="29"/>
      <c r="J134" s="29"/>
      <c r="L134" s="29"/>
    </row>
    <row r="135" ht="15.75" customHeight="1">
      <c r="C135" s="29"/>
      <c r="D135" s="30"/>
      <c r="F135" s="30"/>
      <c r="I135" s="29"/>
      <c r="J135" s="29"/>
      <c r="L135" s="29"/>
    </row>
    <row r="136" ht="15.75" customHeight="1">
      <c r="C136" s="29"/>
      <c r="D136" s="30"/>
      <c r="F136" s="30"/>
      <c r="I136" s="29"/>
      <c r="J136" s="29"/>
      <c r="L136" s="29"/>
    </row>
    <row r="137" ht="15.75" customHeight="1">
      <c r="C137" s="29"/>
      <c r="D137" s="30"/>
      <c r="F137" s="30"/>
      <c r="I137" s="29"/>
      <c r="J137" s="29"/>
      <c r="L137" s="29"/>
    </row>
    <row r="138" ht="15.75" customHeight="1">
      <c r="C138" s="29"/>
      <c r="D138" s="30"/>
      <c r="F138" s="30"/>
      <c r="I138" s="29"/>
      <c r="J138" s="29"/>
      <c r="L138" s="29"/>
    </row>
    <row r="139" ht="15.75" customHeight="1">
      <c r="C139" s="29"/>
      <c r="D139" s="30"/>
      <c r="F139" s="30"/>
      <c r="I139" s="29"/>
      <c r="J139" s="29"/>
      <c r="L139" s="29"/>
    </row>
    <row r="140" ht="15.75" customHeight="1">
      <c r="C140" s="29"/>
      <c r="D140" s="30"/>
      <c r="F140" s="30"/>
      <c r="I140" s="29"/>
      <c r="J140" s="29"/>
      <c r="L140" s="29"/>
    </row>
    <row r="141" ht="15.75" customHeight="1">
      <c r="C141" s="29"/>
      <c r="D141" s="30"/>
      <c r="F141" s="30"/>
      <c r="I141" s="29"/>
      <c r="J141" s="29"/>
      <c r="L141" s="29"/>
    </row>
    <row r="142" ht="15.75" customHeight="1">
      <c r="C142" s="29"/>
      <c r="D142" s="30"/>
      <c r="F142" s="30"/>
      <c r="I142" s="29"/>
      <c r="J142" s="29"/>
      <c r="L142" s="29"/>
    </row>
    <row r="143" ht="15.75" customHeight="1">
      <c r="C143" s="29"/>
      <c r="D143" s="30"/>
      <c r="F143" s="30"/>
      <c r="I143" s="29"/>
      <c r="J143" s="29"/>
      <c r="L143" s="29"/>
    </row>
    <row r="144" ht="15.75" customHeight="1">
      <c r="C144" s="29"/>
      <c r="D144" s="30"/>
      <c r="F144" s="30"/>
      <c r="I144" s="29"/>
      <c r="J144" s="29"/>
      <c r="L144" s="29"/>
    </row>
    <row r="145" ht="15.75" customHeight="1">
      <c r="C145" s="29"/>
      <c r="D145" s="30"/>
      <c r="F145" s="30"/>
      <c r="I145" s="29"/>
      <c r="J145" s="29"/>
      <c r="L145" s="29"/>
    </row>
    <row r="146" ht="15.75" customHeight="1">
      <c r="C146" s="29"/>
      <c r="D146" s="30"/>
      <c r="F146" s="30"/>
      <c r="I146" s="29"/>
      <c r="J146" s="29"/>
      <c r="L146" s="29"/>
    </row>
    <row r="147" ht="15.75" customHeight="1">
      <c r="C147" s="29"/>
      <c r="D147" s="30"/>
      <c r="F147" s="30"/>
      <c r="I147" s="29"/>
      <c r="J147" s="29"/>
      <c r="L147" s="29"/>
    </row>
    <row r="148" ht="15.75" customHeight="1">
      <c r="C148" s="29"/>
      <c r="D148" s="30"/>
      <c r="F148" s="30"/>
      <c r="I148" s="29"/>
      <c r="J148" s="29"/>
      <c r="L148" s="29"/>
    </row>
    <row r="149" ht="15.75" customHeight="1">
      <c r="C149" s="29"/>
      <c r="D149" s="30"/>
      <c r="F149" s="30"/>
      <c r="I149" s="29"/>
      <c r="J149" s="29"/>
      <c r="L149" s="29"/>
    </row>
    <row r="150" ht="15.75" customHeight="1">
      <c r="C150" s="29"/>
      <c r="D150" s="30"/>
      <c r="F150" s="30"/>
      <c r="I150" s="29"/>
      <c r="J150" s="29"/>
      <c r="L150" s="29"/>
    </row>
    <row r="151" ht="15.75" customHeight="1">
      <c r="C151" s="29"/>
      <c r="D151" s="30"/>
      <c r="F151" s="30"/>
      <c r="I151" s="29"/>
      <c r="J151" s="29"/>
      <c r="L151" s="29"/>
    </row>
    <row r="152" ht="15.75" customHeight="1">
      <c r="C152" s="29"/>
      <c r="D152" s="30"/>
      <c r="F152" s="30"/>
      <c r="I152" s="29"/>
      <c r="J152" s="29"/>
      <c r="L152" s="29"/>
    </row>
    <row r="153" ht="15.75" customHeight="1">
      <c r="C153" s="29"/>
      <c r="D153" s="30"/>
      <c r="F153" s="30"/>
      <c r="I153" s="29"/>
      <c r="J153" s="29"/>
      <c r="L153" s="29"/>
    </row>
    <row r="154" ht="15.75" customHeight="1">
      <c r="C154" s="29"/>
      <c r="D154" s="30"/>
      <c r="F154" s="30"/>
      <c r="I154" s="29"/>
      <c r="J154" s="29"/>
      <c r="L154" s="29"/>
    </row>
    <row r="155" ht="15.75" customHeight="1">
      <c r="C155" s="29"/>
      <c r="D155" s="30"/>
      <c r="F155" s="30"/>
      <c r="I155" s="29"/>
      <c r="J155" s="29"/>
      <c r="L155" s="29"/>
    </row>
    <row r="156" ht="15.75" customHeight="1">
      <c r="C156" s="29"/>
      <c r="D156" s="30"/>
      <c r="F156" s="30"/>
      <c r="I156" s="29"/>
      <c r="J156" s="29"/>
      <c r="L156" s="29"/>
    </row>
    <row r="157" ht="15.75" customHeight="1">
      <c r="C157" s="29"/>
      <c r="D157" s="30"/>
      <c r="F157" s="30"/>
      <c r="I157" s="29"/>
      <c r="J157" s="29"/>
      <c r="L157" s="29"/>
    </row>
    <row r="158" ht="15.75" customHeight="1">
      <c r="C158" s="29"/>
      <c r="D158" s="30"/>
      <c r="F158" s="30"/>
      <c r="I158" s="29"/>
      <c r="J158" s="29"/>
      <c r="L158" s="29"/>
    </row>
    <row r="159" ht="15.75" customHeight="1">
      <c r="C159" s="29"/>
      <c r="D159" s="30"/>
      <c r="F159" s="30"/>
      <c r="I159" s="29"/>
      <c r="J159" s="29"/>
      <c r="L159" s="29"/>
    </row>
    <row r="160" ht="15.75" customHeight="1">
      <c r="C160" s="29"/>
      <c r="D160" s="30"/>
      <c r="F160" s="30"/>
      <c r="I160" s="29"/>
      <c r="J160" s="29"/>
      <c r="L160" s="29"/>
    </row>
    <row r="161" ht="15.75" customHeight="1">
      <c r="C161" s="29"/>
      <c r="D161" s="30"/>
      <c r="F161" s="30"/>
      <c r="I161" s="29"/>
      <c r="J161" s="29"/>
      <c r="L161" s="29"/>
    </row>
    <row r="162" ht="15.75" customHeight="1">
      <c r="C162" s="29"/>
      <c r="D162" s="30"/>
      <c r="F162" s="30"/>
      <c r="I162" s="29"/>
      <c r="J162" s="29"/>
      <c r="L162" s="29"/>
    </row>
    <row r="163" ht="15.75" customHeight="1">
      <c r="C163" s="29"/>
      <c r="D163" s="30"/>
      <c r="F163" s="30"/>
      <c r="I163" s="29"/>
      <c r="J163" s="29"/>
      <c r="L163" s="29"/>
    </row>
    <row r="164" ht="15.75" customHeight="1">
      <c r="C164" s="29"/>
      <c r="D164" s="30"/>
      <c r="F164" s="30"/>
      <c r="I164" s="29"/>
      <c r="J164" s="29"/>
      <c r="L164" s="29"/>
    </row>
    <row r="165" ht="15.75" customHeight="1">
      <c r="C165" s="29"/>
      <c r="D165" s="30"/>
      <c r="F165" s="30"/>
      <c r="I165" s="29"/>
      <c r="J165" s="29"/>
      <c r="L165" s="29"/>
    </row>
    <row r="166" ht="15.75" customHeight="1">
      <c r="C166" s="29"/>
      <c r="D166" s="30"/>
      <c r="F166" s="30"/>
      <c r="I166" s="29"/>
      <c r="J166" s="29"/>
      <c r="L166" s="29"/>
    </row>
    <row r="167" ht="15.75" customHeight="1">
      <c r="C167" s="29"/>
      <c r="D167" s="30"/>
      <c r="F167" s="30"/>
      <c r="I167" s="29"/>
      <c r="J167" s="29"/>
      <c r="L167" s="29"/>
    </row>
    <row r="168" ht="15.75" customHeight="1">
      <c r="C168" s="29"/>
      <c r="D168" s="30"/>
      <c r="F168" s="30"/>
      <c r="I168" s="29"/>
      <c r="J168" s="29"/>
      <c r="L168" s="29"/>
    </row>
    <row r="169" ht="15.75" customHeight="1">
      <c r="C169" s="29"/>
      <c r="D169" s="30"/>
      <c r="F169" s="30"/>
      <c r="I169" s="29"/>
      <c r="J169" s="29"/>
      <c r="L169" s="29"/>
    </row>
    <row r="170" ht="15.75" customHeight="1">
      <c r="C170" s="29"/>
      <c r="D170" s="30"/>
      <c r="F170" s="30"/>
      <c r="I170" s="29"/>
      <c r="J170" s="29"/>
      <c r="L170" s="29"/>
    </row>
    <row r="171" ht="15.75" customHeight="1">
      <c r="C171" s="29"/>
      <c r="D171" s="30"/>
      <c r="F171" s="30"/>
      <c r="I171" s="29"/>
      <c r="J171" s="29"/>
      <c r="L171" s="29"/>
    </row>
    <row r="172" ht="15.75" customHeight="1">
      <c r="C172" s="29"/>
      <c r="D172" s="30"/>
      <c r="F172" s="30"/>
      <c r="I172" s="29"/>
      <c r="J172" s="29"/>
      <c r="L172" s="29"/>
    </row>
    <row r="173" ht="15.75" customHeight="1">
      <c r="C173" s="29"/>
      <c r="D173" s="30"/>
      <c r="F173" s="30"/>
      <c r="I173" s="29"/>
      <c r="J173" s="29"/>
      <c r="L173" s="29"/>
    </row>
    <row r="174" ht="15.75" customHeight="1">
      <c r="C174" s="29"/>
      <c r="D174" s="30"/>
      <c r="F174" s="30"/>
      <c r="I174" s="29"/>
      <c r="J174" s="29"/>
      <c r="L174" s="29"/>
    </row>
    <row r="175" ht="15.75" customHeight="1">
      <c r="C175" s="29"/>
      <c r="D175" s="30"/>
      <c r="F175" s="30"/>
      <c r="I175" s="29"/>
      <c r="J175" s="29"/>
      <c r="L175" s="29"/>
    </row>
    <row r="176" ht="15.75" customHeight="1">
      <c r="C176" s="29"/>
      <c r="D176" s="30"/>
      <c r="F176" s="30"/>
      <c r="I176" s="29"/>
      <c r="J176" s="29"/>
      <c r="L176" s="29"/>
    </row>
    <row r="177" ht="15.75" customHeight="1">
      <c r="C177" s="29"/>
      <c r="D177" s="30"/>
      <c r="F177" s="30"/>
      <c r="I177" s="29"/>
      <c r="J177" s="29"/>
      <c r="L177" s="29"/>
    </row>
    <row r="178" ht="15.75" customHeight="1">
      <c r="C178" s="29"/>
      <c r="D178" s="30"/>
      <c r="F178" s="30"/>
      <c r="I178" s="29"/>
      <c r="J178" s="29"/>
      <c r="L178" s="29"/>
    </row>
    <row r="179" ht="15.75" customHeight="1">
      <c r="C179" s="29"/>
      <c r="D179" s="30"/>
      <c r="F179" s="30"/>
      <c r="I179" s="29"/>
      <c r="J179" s="29"/>
      <c r="L179" s="29"/>
    </row>
    <row r="180" ht="15.75" customHeight="1">
      <c r="C180" s="29"/>
      <c r="D180" s="30"/>
      <c r="F180" s="30"/>
      <c r="I180" s="29"/>
      <c r="J180" s="29"/>
      <c r="L180" s="29"/>
    </row>
    <row r="181" ht="15.75" customHeight="1">
      <c r="C181" s="29"/>
      <c r="D181" s="30"/>
      <c r="F181" s="30"/>
      <c r="I181" s="29"/>
      <c r="J181" s="29"/>
      <c r="L181" s="29"/>
    </row>
    <row r="182" ht="15.75" customHeight="1">
      <c r="C182" s="29"/>
      <c r="D182" s="30"/>
      <c r="F182" s="30"/>
      <c r="I182" s="29"/>
      <c r="J182" s="29"/>
      <c r="L182" s="29"/>
    </row>
    <row r="183" ht="15.75" customHeight="1">
      <c r="C183" s="29"/>
      <c r="D183" s="30"/>
      <c r="F183" s="30"/>
      <c r="I183" s="29"/>
      <c r="J183" s="29"/>
      <c r="L183" s="29"/>
    </row>
    <row r="184" ht="15.75" customHeight="1">
      <c r="C184" s="29"/>
      <c r="D184" s="30"/>
      <c r="F184" s="30"/>
      <c r="I184" s="29"/>
      <c r="J184" s="29"/>
      <c r="L184" s="29"/>
    </row>
    <row r="185" ht="15.75" customHeight="1">
      <c r="C185" s="29"/>
      <c r="D185" s="30"/>
      <c r="F185" s="30"/>
      <c r="I185" s="29"/>
      <c r="J185" s="29"/>
      <c r="L185" s="29"/>
    </row>
    <row r="186" ht="15.75" customHeight="1">
      <c r="C186" s="29"/>
      <c r="D186" s="30"/>
      <c r="F186" s="30"/>
      <c r="I186" s="29"/>
      <c r="J186" s="29"/>
      <c r="L186" s="29"/>
    </row>
    <row r="187" ht="15.75" customHeight="1">
      <c r="C187" s="29"/>
      <c r="D187" s="30"/>
      <c r="F187" s="30"/>
      <c r="I187" s="29"/>
      <c r="J187" s="29"/>
      <c r="L187" s="29"/>
    </row>
    <row r="188" ht="15.75" customHeight="1">
      <c r="C188" s="29"/>
      <c r="D188" s="30"/>
      <c r="F188" s="30"/>
      <c r="I188" s="29"/>
      <c r="J188" s="29"/>
      <c r="L188" s="29"/>
    </row>
    <row r="189" ht="15.75" customHeight="1">
      <c r="C189" s="29"/>
      <c r="D189" s="30"/>
      <c r="F189" s="30"/>
      <c r="I189" s="29"/>
      <c r="J189" s="29"/>
      <c r="L189" s="29"/>
    </row>
    <row r="190" ht="15.75" customHeight="1">
      <c r="C190" s="29"/>
      <c r="D190" s="30"/>
      <c r="F190" s="30"/>
      <c r="I190" s="29"/>
      <c r="J190" s="29"/>
      <c r="L190" s="29"/>
    </row>
    <row r="191" ht="15.75" customHeight="1">
      <c r="C191" s="29"/>
      <c r="D191" s="30"/>
      <c r="F191" s="30"/>
      <c r="I191" s="29"/>
      <c r="J191" s="29"/>
      <c r="L191" s="29"/>
    </row>
    <row r="192" ht="15.75" customHeight="1">
      <c r="C192" s="29"/>
      <c r="D192" s="30"/>
      <c r="F192" s="30"/>
      <c r="I192" s="29"/>
      <c r="J192" s="29"/>
      <c r="L192" s="29"/>
    </row>
    <row r="193" ht="15.75" customHeight="1">
      <c r="C193" s="29"/>
      <c r="D193" s="30"/>
      <c r="F193" s="30"/>
      <c r="I193" s="29"/>
      <c r="J193" s="29"/>
      <c r="L193" s="29"/>
    </row>
    <row r="194" ht="15.75" customHeight="1">
      <c r="C194" s="29"/>
      <c r="D194" s="30"/>
      <c r="F194" s="30"/>
      <c r="I194" s="29"/>
      <c r="J194" s="29"/>
      <c r="L194" s="29"/>
    </row>
    <row r="195" ht="15.75" customHeight="1">
      <c r="C195" s="29"/>
      <c r="D195" s="30"/>
      <c r="F195" s="30"/>
      <c r="I195" s="29"/>
      <c r="J195" s="29"/>
      <c r="L195" s="29"/>
    </row>
    <row r="196" ht="15.75" customHeight="1">
      <c r="C196" s="29"/>
      <c r="D196" s="30"/>
      <c r="F196" s="30"/>
      <c r="I196" s="29"/>
      <c r="J196" s="29"/>
      <c r="L196" s="29"/>
    </row>
    <row r="197" ht="15.75" customHeight="1">
      <c r="C197" s="29"/>
      <c r="D197" s="30"/>
      <c r="F197" s="30"/>
      <c r="I197" s="29"/>
      <c r="J197" s="29"/>
      <c r="L197" s="29"/>
    </row>
    <row r="198" ht="15.75" customHeight="1">
      <c r="C198" s="29"/>
      <c r="D198" s="30"/>
      <c r="F198" s="30"/>
      <c r="I198" s="29"/>
      <c r="J198" s="29"/>
      <c r="L198" s="29"/>
    </row>
    <row r="199" ht="15.75" customHeight="1">
      <c r="C199" s="29"/>
      <c r="D199" s="30"/>
      <c r="F199" s="30"/>
      <c r="I199" s="29"/>
      <c r="J199" s="29"/>
      <c r="L199" s="29"/>
    </row>
    <row r="200" ht="15.75" customHeight="1">
      <c r="C200" s="29"/>
      <c r="D200" s="30"/>
      <c r="F200" s="30"/>
      <c r="I200" s="29"/>
      <c r="J200" s="29"/>
      <c r="L200" s="29"/>
    </row>
    <row r="201" ht="15.75" customHeight="1">
      <c r="C201" s="29"/>
      <c r="D201" s="30"/>
      <c r="F201" s="30"/>
      <c r="I201" s="29"/>
      <c r="J201" s="29"/>
      <c r="L201" s="29"/>
    </row>
    <row r="202" ht="15.75" customHeight="1">
      <c r="C202" s="29"/>
      <c r="D202" s="30"/>
      <c r="F202" s="30"/>
      <c r="I202" s="29"/>
      <c r="J202" s="29"/>
      <c r="L202" s="29"/>
    </row>
    <row r="203" ht="15.75" customHeight="1">
      <c r="C203" s="29"/>
      <c r="D203" s="30"/>
      <c r="F203" s="30"/>
      <c r="I203" s="29"/>
      <c r="J203" s="29"/>
      <c r="L203" s="29"/>
    </row>
    <row r="204" ht="15.75" customHeight="1">
      <c r="C204" s="29"/>
      <c r="D204" s="30"/>
      <c r="F204" s="30"/>
      <c r="I204" s="29"/>
      <c r="J204" s="29"/>
      <c r="L204" s="29"/>
    </row>
    <row r="205" ht="15.75" customHeight="1">
      <c r="C205" s="29"/>
      <c r="D205" s="30"/>
      <c r="F205" s="30"/>
      <c r="I205" s="29"/>
      <c r="J205" s="29"/>
      <c r="L205" s="29"/>
    </row>
    <row r="206" ht="15.75" customHeight="1">
      <c r="C206" s="29"/>
      <c r="D206" s="30"/>
      <c r="F206" s="30"/>
      <c r="I206" s="29"/>
      <c r="J206" s="29"/>
      <c r="L206" s="29"/>
    </row>
    <row r="207" ht="15.75" customHeight="1">
      <c r="C207" s="29"/>
      <c r="D207" s="30"/>
      <c r="F207" s="30"/>
      <c r="I207" s="29"/>
      <c r="J207" s="29"/>
      <c r="L207" s="29"/>
    </row>
    <row r="208" ht="15.75" customHeight="1">
      <c r="C208" s="29"/>
      <c r="D208" s="30"/>
      <c r="F208" s="30"/>
      <c r="I208" s="29"/>
      <c r="J208" s="29"/>
      <c r="L208" s="29"/>
    </row>
    <row r="209" ht="15.75" customHeight="1">
      <c r="C209" s="29"/>
      <c r="D209" s="30"/>
      <c r="F209" s="30"/>
      <c r="I209" s="29"/>
      <c r="J209" s="29"/>
      <c r="L209" s="29"/>
    </row>
    <row r="210" ht="15.75" customHeight="1">
      <c r="C210" s="29"/>
      <c r="D210" s="30"/>
      <c r="F210" s="30"/>
      <c r="I210" s="29"/>
      <c r="J210" s="29"/>
      <c r="L210" s="29"/>
    </row>
    <row r="211" ht="15.75" customHeight="1">
      <c r="C211" s="29"/>
      <c r="D211" s="30"/>
      <c r="F211" s="30"/>
      <c r="I211" s="29"/>
      <c r="J211" s="29"/>
      <c r="L211" s="29"/>
    </row>
    <row r="212" ht="15.75" customHeight="1">
      <c r="C212" s="29"/>
      <c r="D212" s="30"/>
      <c r="F212" s="30"/>
      <c r="I212" s="29"/>
      <c r="J212" s="29"/>
      <c r="L212" s="29"/>
    </row>
    <row r="213" ht="15.75" customHeight="1">
      <c r="C213" s="29"/>
      <c r="D213" s="30"/>
      <c r="F213" s="30"/>
      <c r="I213" s="29"/>
      <c r="J213" s="29"/>
      <c r="L213" s="29"/>
    </row>
    <row r="214" ht="15.75" customHeight="1">
      <c r="C214" s="29"/>
      <c r="D214" s="30"/>
      <c r="F214" s="30"/>
      <c r="I214" s="29"/>
      <c r="J214" s="29"/>
      <c r="L214" s="29"/>
    </row>
    <row r="215" ht="15.75" customHeight="1">
      <c r="C215" s="29"/>
      <c r="D215" s="30"/>
      <c r="F215" s="30"/>
      <c r="I215" s="29"/>
      <c r="J215" s="29"/>
      <c r="L215" s="29"/>
    </row>
    <row r="216" ht="15.75" customHeight="1">
      <c r="C216" s="29"/>
      <c r="D216" s="30"/>
      <c r="F216" s="30"/>
      <c r="I216" s="29"/>
      <c r="J216" s="29"/>
      <c r="L216" s="29"/>
    </row>
    <row r="217" ht="15.75" customHeight="1">
      <c r="C217" s="29"/>
      <c r="D217" s="30"/>
      <c r="F217" s="30"/>
      <c r="I217" s="29"/>
      <c r="J217" s="29"/>
      <c r="L217" s="29"/>
    </row>
    <row r="218" ht="15.75" customHeight="1">
      <c r="C218" s="29"/>
      <c r="D218" s="30"/>
      <c r="F218" s="30"/>
      <c r="I218" s="29"/>
      <c r="J218" s="29"/>
      <c r="L218" s="29"/>
    </row>
    <row r="219" ht="15.75" customHeight="1">
      <c r="C219" s="29"/>
      <c r="D219" s="30"/>
      <c r="F219" s="30"/>
      <c r="I219" s="29"/>
      <c r="J219" s="29"/>
      <c r="L219" s="29"/>
    </row>
    <row r="220" ht="15.75" customHeight="1">
      <c r="C220" s="29"/>
      <c r="D220" s="30"/>
      <c r="F220" s="30"/>
      <c r="I220" s="29"/>
      <c r="J220" s="29"/>
      <c r="L220" s="29"/>
    </row>
    <row r="221" ht="15.75" customHeight="1">
      <c r="C221" s="29"/>
      <c r="D221" s="30"/>
      <c r="F221" s="30"/>
      <c r="I221" s="29"/>
      <c r="J221" s="29"/>
      <c r="L221" s="29"/>
    </row>
    <row r="222" ht="15.75" customHeight="1">
      <c r="C222" s="29"/>
      <c r="D222" s="30"/>
      <c r="F222" s="30"/>
      <c r="I222" s="29"/>
      <c r="J222" s="29"/>
      <c r="L222" s="29"/>
    </row>
    <row r="223" ht="15.75" customHeight="1">
      <c r="C223" s="29"/>
      <c r="D223" s="30"/>
      <c r="F223" s="30"/>
      <c r="I223" s="29"/>
      <c r="J223" s="29"/>
      <c r="L223" s="29"/>
    </row>
    <row r="224" ht="15.75" customHeight="1">
      <c r="C224" s="29"/>
      <c r="D224" s="30"/>
      <c r="F224" s="30"/>
      <c r="I224" s="29"/>
      <c r="J224" s="29"/>
      <c r="L224" s="29"/>
    </row>
    <row r="225" ht="15.75" customHeight="1">
      <c r="C225" s="29"/>
      <c r="D225" s="30"/>
      <c r="F225" s="30"/>
      <c r="I225" s="29"/>
      <c r="J225" s="29"/>
      <c r="L225" s="29"/>
    </row>
    <row r="226" ht="15.75" customHeight="1">
      <c r="C226" s="29"/>
      <c r="D226" s="30"/>
      <c r="F226" s="30"/>
      <c r="I226" s="29"/>
      <c r="J226" s="29"/>
      <c r="L226" s="29"/>
    </row>
    <row r="227" ht="15.75" customHeight="1">
      <c r="C227" s="29"/>
      <c r="D227" s="30"/>
      <c r="F227" s="30"/>
      <c r="I227" s="29"/>
      <c r="J227" s="29"/>
      <c r="L227" s="29"/>
    </row>
    <row r="228" ht="15.75" customHeight="1">
      <c r="C228" s="29"/>
      <c r="D228" s="30"/>
      <c r="F228" s="30"/>
      <c r="I228" s="29"/>
      <c r="J228" s="29"/>
      <c r="L228" s="29"/>
    </row>
    <row r="229" ht="15.75" customHeight="1">
      <c r="C229" s="29"/>
      <c r="D229" s="30"/>
      <c r="F229" s="30"/>
      <c r="I229" s="29"/>
      <c r="J229" s="29"/>
      <c r="L229" s="29"/>
    </row>
    <row r="230" ht="15.75" customHeight="1">
      <c r="C230" s="29"/>
      <c r="D230" s="30"/>
      <c r="F230" s="30"/>
      <c r="I230" s="29"/>
      <c r="J230" s="29"/>
      <c r="L230" s="29"/>
    </row>
    <row r="231" ht="15.75" customHeight="1">
      <c r="C231" s="29"/>
      <c r="D231" s="30"/>
      <c r="F231" s="30"/>
      <c r="I231" s="29"/>
      <c r="J231" s="29"/>
      <c r="L231" s="29"/>
    </row>
    <row r="232" ht="15.75" customHeight="1">
      <c r="C232" s="29"/>
      <c r="D232" s="30"/>
      <c r="F232" s="30"/>
      <c r="I232" s="29"/>
      <c r="J232" s="29"/>
      <c r="L232" s="29"/>
    </row>
    <row r="233" ht="15.75" customHeight="1">
      <c r="C233" s="29"/>
      <c r="D233" s="30"/>
      <c r="F233" s="30"/>
      <c r="I233" s="29"/>
      <c r="J233" s="29"/>
      <c r="L233" s="29"/>
    </row>
    <row r="234" ht="15.75" customHeight="1">
      <c r="C234" s="29"/>
      <c r="D234" s="30"/>
      <c r="F234" s="30"/>
      <c r="I234" s="29"/>
      <c r="J234" s="29"/>
      <c r="L234" s="29"/>
    </row>
    <row r="235" ht="15.75" customHeight="1">
      <c r="C235" s="29"/>
      <c r="D235" s="30"/>
      <c r="F235" s="30"/>
      <c r="I235" s="29"/>
      <c r="J235" s="29"/>
      <c r="L235" s="29"/>
    </row>
    <row r="236" ht="15.75" customHeight="1">
      <c r="C236" s="29"/>
      <c r="D236" s="30"/>
      <c r="F236" s="30"/>
      <c r="I236" s="29"/>
      <c r="J236" s="29"/>
      <c r="L236" s="29"/>
    </row>
    <row r="237" ht="15.75" customHeight="1">
      <c r="C237" s="29"/>
      <c r="D237" s="30"/>
      <c r="F237" s="30"/>
      <c r="I237" s="29"/>
      <c r="J237" s="29"/>
      <c r="L237" s="29"/>
    </row>
    <row r="238" ht="15.75" customHeight="1">
      <c r="C238" s="29"/>
      <c r="D238" s="30"/>
      <c r="F238" s="30"/>
      <c r="I238" s="29"/>
      <c r="J238" s="29"/>
      <c r="L238" s="29"/>
    </row>
    <row r="239" ht="15.75" customHeight="1">
      <c r="C239" s="29"/>
      <c r="D239" s="30"/>
      <c r="F239" s="30"/>
      <c r="I239" s="29"/>
      <c r="J239" s="29"/>
      <c r="L239" s="29"/>
    </row>
    <row r="240" ht="15.75" customHeight="1">
      <c r="C240" s="29"/>
      <c r="D240" s="30"/>
      <c r="F240" s="30"/>
      <c r="I240" s="29"/>
      <c r="J240" s="29"/>
      <c r="L240" s="29"/>
    </row>
    <row r="241" ht="15.75" customHeight="1">
      <c r="C241" s="29"/>
      <c r="D241" s="30"/>
      <c r="F241" s="30"/>
      <c r="I241" s="29"/>
      <c r="J241" s="29"/>
      <c r="L241" s="29"/>
    </row>
    <row r="242" ht="15.75" customHeight="1">
      <c r="C242" s="29"/>
      <c r="D242" s="30"/>
      <c r="F242" s="30"/>
      <c r="I242" s="29"/>
      <c r="J242" s="29"/>
      <c r="L242" s="29"/>
    </row>
    <row r="243" ht="15.75" customHeight="1">
      <c r="C243" s="29"/>
      <c r="D243" s="30"/>
      <c r="F243" s="30"/>
      <c r="I243" s="29"/>
      <c r="J243" s="29"/>
      <c r="L243" s="29"/>
    </row>
    <row r="244" ht="15.75" customHeight="1">
      <c r="C244" s="29"/>
      <c r="D244" s="30"/>
      <c r="F244" s="30"/>
      <c r="I244" s="29"/>
      <c r="J244" s="29"/>
      <c r="L244" s="29"/>
    </row>
    <row r="245" ht="15.75" customHeight="1">
      <c r="C245" s="29"/>
      <c r="D245" s="30"/>
      <c r="F245" s="30"/>
      <c r="I245" s="29"/>
      <c r="J245" s="29"/>
      <c r="L245" s="29"/>
    </row>
    <row r="246" ht="15.75" customHeight="1">
      <c r="C246" s="29"/>
      <c r="D246" s="30"/>
      <c r="F246" s="30"/>
      <c r="I246" s="29"/>
      <c r="J246" s="29"/>
      <c r="L246" s="29"/>
    </row>
    <row r="247" ht="15.75" customHeight="1">
      <c r="C247" s="29"/>
      <c r="D247" s="30"/>
      <c r="F247" s="30"/>
      <c r="I247" s="29"/>
      <c r="J247" s="29"/>
      <c r="L247" s="29"/>
    </row>
    <row r="248" ht="15.75" customHeight="1">
      <c r="C248" s="29"/>
      <c r="D248" s="30"/>
      <c r="F248" s="30"/>
      <c r="I248" s="29"/>
      <c r="J248" s="29"/>
      <c r="L248" s="29"/>
    </row>
    <row r="249" ht="15.75" customHeight="1">
      <c r="C249" s="29"/>
      <c r="D249" s="30"/>
      <c r="F249" s="30"/>
      <c r="I249" s="29"/>
      <c r="J249" s="29"/>
      <c r="L249" s="29"/>
    </row>
    <row r="250" ht="15.75" customHeight="1">
      <c r="C250" s="29"/>
      <c r="D250" s="30"/>
      <c r="F250" s="30"/>
      <c r="I250" s="29"/>
      <c r="J250" s="29"/>
      <c r="L250" s="29"/>
    </row>
    <row r="251" ht="15.75" customHeight="1">
      <c r="C251" s="29"/>
      <c r="D251" s="30"/>
      <c r="F251" s="30"/>
      <c r="I251" s="29"/>
      <c r="J251" s="29"/>
      <c r="L251" s="29"/>
    </row>
    <row r="252" ht="15.75" customHeight="1">
      <c r="C252" s="29"/>
      <c r="D252" s="30"/>
      <c r="F252" s="30"/>
      <c r="I252" s="29"/>
      <c r="J252" s="29"/>
      <c r="L252" s="29"/>
    </row>
    <row r="253" ht="15.75" customHeight="1">
      <c r="C253" s="29"/>
      <c r="D253" s="30"/>
      <c r="F253" s="30"/>
      <c r="I253" s="29"/>
      <c r="J253" s="29"/>
      <c r="L253" s="29"/>
    </row>
    <row r="254" ht="15.75" customHeight="1">
      <c r="C254" s="29"/>
      <c r="D254" s="30"/>
      <c r="F254" s="30"/>
      <c r="I254" s="29"/>
      <c r="J254" s="29"/>
      <c r="L254" s="29"/>
    </row>
    <row r="255" ht="15.75" customHeight="1">
      <c r="C255" s="29"/>
      <c r="D255" s="30"/>
      <c r="F255" s="30"/>
      <c r="I255" s="29"/>
      <c r="J255" s="29"/>
      <c r="L255" s="29"/>
    </row>
    <row r="256" ht="15.75" customHeight="1">
      <c r="C256" s="29"/>
      <c r="D256" s="30"/>
      <c r="F256" s="30"/>
      <c r="I256" s="29"/>
      <c r="J256" s="29"/>
      <c r="L256" s="29"/>
    </row>
    <row r="257" ht="15.75" customHeight="1">
      <c r="C257" s="29"/>
      <c r="D257" s="30"/>
      <c r="F257" s="30"/>
      <c r="I257" s="29"/>
      <c r="J257" s="29"/>
      <c r="L257" s="29"/>
    </row>
    <row r="258" ht="15.75" customHeight="1">
      <c r="C258" s="29"/>
      <c r="D258" s="30"/>
      <c r="F258" s="30"/>
      <c r="I258" s="29"/>
      <c r="J258" s="29"/>
      <c r="L258" s="29"/>
    </row>
    <row r="259" ht="15.75" customHeight="1">
      <c r="C259" s="29"/>
      <c r="D259" s="30"/>
      <c r="F259" s="30"/>
      <c r="I259" s="29"/>
      <c r="J259" s="29"/>
      <c r="L259" s="29"/>
    </row>
    <row r="260" ht="15.75" customHeight="1">
      <c r="C260" s="29"/>
      <c r="D260" s="30"/>
      <c r="F260" s="30"/>
      <c r="I260" s="29"/>
      <c r="J260" s="29"/>
      <c r="L260" s="29"/>
    </row>
    <row r="261" ht="15.75" customHeight="1">
      <c r="C261" s="29"/>
      <c r="D261" s="30"/>
      <c r="F261" s="30"/>
      <c r="I261" s="29"/>
      <c r="J261" s="29"/>
      <c r="L261" s="29"/>
    </row>
    <row r="262" ht="15.75" customHeight="1">
      <c r="C262" s="29"/>
      <c r="D262" s="30"/>
      <c r="F262" s="30"/>
      <c r="I262" s="29"/>
      <c r="J262" s="29"/>
      <c r="L262" s="29"/>
    </row>
    <row r="263" ht="15.75" customHeight="1">
      <c r="C263" s="29"/>
      <c r="D263" s="30"/>
      <c r="F263" s="30"/>
      <c r="I263" s="29"/>
      <c r="J263" s="29"/>
      <c r="L263" s="29"/>
    </row>
    <row r="264" ht="15.75" customHeight="1">
      <c r="C264" s="29"/>
      <c r="D264" s="30"/>
      <c r="F264" s="30"/>
      <c r="I264" s="29"/>
      <c r="J264" s="29"/>
      <c r="L264" s="29"/>
    </row>
    <row r="265" ht="15.75" customHeight="1">
      <c r="C265" s="29"/>
      <c r="D265" s="30"/>
      <c r="F265" s="30"/>
      <c r="I265" s="29"/>
      <c r="J265" s="29"/>
      <c r="L265" s="29"/>
    </row>
    <row r="266" ht="15.75" customHeight="1">
      <c r="C266" s="29"/>
      <c r="D266" s="30"/>
      <c r="F266" s="30"/>
      <c r="I266" s="29"/>
      <c r="J266" s="29"/>
      <c r="L266" s="29"/>
    </row>
    <row r="267" ht="15.75" customHeight="1">
      <c r="C267" s="29"/>
      <c r="D267" s="30"/>
      <c r="F267" s="30"/>
      <c r="I267" s="29"/>
      <c r="J267" s="29"/>
      <c r="L267" s="29"/>
    </row>
    <row r="268" ht="15.75" customHeight="1">
      <c r="C268" s="29"/>
      <c r="D268" s="30"/>
      <c r="F268" s="30"/>
      <c r="I268" s="29"/>
      <c r="J268" s="29"/>
      <c r="L268" s="29"/>
    </row>
    <row r="269" ht="15.75" customHeight="1">
      <c r="C269" s="29"/>
      <c r="D269" s="30"/>
      <c r="F269" s="30"/>
      <c r="I269" s="29"/>
      <c r="J269" s="29"/>
      <c r="L269" s="29"/>
    </row>
    <row r="270" ht="15.75" customHeight="1">
      <c r="C270" s="29"/>
      <c r="D270" s="30"/>
      <c r="F270" s="30"/>
      <c r="I270" s="29"/>
      <c r="J270" s="29"/>
      <c r="L270" s="29"/>
    </row>
    <row r="271" ht="15.75" customHeight="1">
      <c r="C271" s="29"/>
      <c r="D271" s="30"/>
      <c r="F271" s="30"/>
      <c r="I271" s="29"/>
      <c r="J271" s="29"/>
      <c r="L271" s="29"/>
    </row>
    <row r="272" ht="15.75" customHeight="1">
      <c r="C272" s="29"/>
      <c r="D272" s="30"/>
      <c r="F272" s="30"/>
      <c r="I272" s="29"/>
      <c r="J272" s="29"/>
      <c r="L272" s="29"/>
    </row>
    <row r="273" ht="15.75" customHeight="1">
      <c r="C273" s="29"/>
      <c r="D273" s="30"/>
      <c r="F273" s="30"/>
      <c r="I273" s="29"/>
      <c r="J273" s="29"/>
      <c r="L273" s="29"/>
    </row>
    <row r="274" ht="15.75" customHeight="1">
      <c r="C274" s="29"/>
      <c r="D274" s="30"/>
      <c r="F274" s="30"/>
      <c r="I274" s="29"/>
      <c r="J274" s="29"/>
      <c r="L274" s="29"/>
    </row>
    <row r="275" ht="15.75" customHeight="1">
      <c r="C275" s="29"/>
      <c r="D275" s="30"/>
      <c r="F275" s="30"/>
      <c r="I275" s="29"/>
      <c r="J275" s="29"/>
      <c r="L275" s="29"/>
    </row>
    <row r="276" ht="15.75" customHeight="1">
      <c r="C276" s="29"/>
      <c r="D276" s="30"/>
      <c r="F276" s="30"/>
      <c r="I276" s="29"/>
      <c r="J276" s="29"/>
      <c r="L276" s="29"/>
    </row>
    <row r="277" ht="15.75" customHeight="1">
      <c r="C277" s="29"/>
      <c r="D277" s="30"/>
      <c r="F277" s="30"/>
      <c r="I277" s="29"/>
      <c r="J277" s="29"/>
      <c r="L277" s="29"/>
    </row>
    <row r="278" ht="15.75" customHeight="1">
      <c r="C278" s="29"/>
      <c r="D278" s="30"/>
      <c r="F278" s="30"/>
      <c r="I278" s="29"/>
      <c r="J278" s="29"/>
      <c r="L278" s="29"/>
    </row>
    <row r="279" ht="15.75" customHeight="1">
      <c r="C279" s="29"/>
      <c r="D279" s="30"/>
      <c r="F279" s="30"/>
      <c r="I279" s="29"/>
      <c r="J279" s="29"/>
      <c r="L279" s="29"/>
    </row>
    <row r="280" ht="15.75" customHeight="1">
      <c r="C280" s="29"/>
      <c r="D280" s="30"/>
      <c r="F280" s="30"/>
      <c r="I280" s="29"/>
      <c r="J280" s="29"/>
      <c r="L280" s="29"/>
    </row>
    <row r="281" ht="15.75" customHeight="1">
      <c r="C281" s="29"/>
      <c r="D281" s="30"/>
      <c r="F281" s="30"/>
      <c r="I281" s="29"/>
      <c r="J281" s="29"/>
      <c r="L281" s="29"/>
    </row>
    <row r="282" ht="15.75" customHeight="1">
      <c r="C282" s="29"/>
      <c r="D282" s="30"/>
      <c r="F282" s="30"/>
      <c r="I282" s="29"/>
      <c r="J282" s="29"/>
      <c r="L282" s="29"/>
    </row>
    <row r="283" ht="15.75" customHeight="1">
      <c r="C283" s="29"/>
      <c r="D283" s="30"/>
      <c r="F283" s="30"/>
      <c r="I283" s="29"/>
      <c r="J283" s="29"/>
      <c r="L283" s="29"/>
    </row>
    <row r="284" ht="15.75" customHeight="1">
      <c r="C284" s="29"/>
      <c r="D284" s="30"/>
      <c r="F284" s="30"/>
      <c r="I284" s="29"/>
      <c r="J284" s="29"/>
      <c r="L284" s="29"/>
    </row>
    <row r="285" ht="15.75" customHeight="1">
      <c r="C285" s="29"/>
      <c r="D285" s="30"/>
      <c r="F285" s="30"/>
      <c r="I285" s="29"/>
      <c r="J285" s="29"/>
      <c r="L285" s="29"/>
    </row>
    <row r="286" ht="15.75" customHeight="1">
      <c r="C286" s="29"/>
      <c r="D286" s="30"/>
      <c r="F286" s="30"/>
      <c r="I286" s="29"/>
      <c r="J286" s="29"/>
      <c r="L286" s="29"/>
    </row>
    <row r="287" ht="15.75" customHeight="1">
      <c r="C287" s="29"/>
      <c r="D287" s="30"/>
      <c r="F287" s="30"/>
      <c r="I287" s="29"/>
      <c r="J287" s="29"/>
      <c r="L287" s="29"/>
    </row>
    <row r="288" ht="15.75" customHeight="1">
      <c r="C288" s="29"/>
      <c r="D288" s="30"/>
      <c r="F288" s="30"/>
      <c r="I288" s="29"/>
      <c r="J288" s="29"/>
      <c r="L288" s="29"/>
    </row>
    <row r="289" ht="15.75" customHeight="1">
      <c r="C289" s="29"/>
      <c r="D289" s="30"/>
      <c r="F289" s="30"/>
      <c r="I289" s="29"/>
      <c r="J289" s="29"/>
      <c r="L289" s="29"/>
    </row>
    <row r="290" ht="15.75" customHeight="1">
      <c r="C290" s="29"/>
      <c r="D290" s="30"/>
      <c r="F290" s="30"/>
      <c r="I290" s="29"/>
      <c r="J290" s="29"/>
      <c r="L290" s="29"/>
    </row>
    <row r="291" ht="15.75" customHeight="1">
      <c r="C291" s="29"/>
      <c r="D291" s="30"/>
      <c r="F291" s="30"/>
      <c r="I291" s="29"/>
      <c r="J291" s="29"/>
      <c r="L291" s="29"/>
    </row>
    <row r="292" ht="15.75" customHeight="1">
      <c r="C292" s="29"/>
      <c r="D292" s="30"/>
      <c r="F292" s="30"/>
      <c r="I292" s="29"/>
      <c r="J292" s="29"/>
      <c r="L292" s="29"/>
    </row>
    <row r="293" ht="15.75" customHeight="1">
      <c r="C293" s="29"/>
      <c r="D293" s="30"/>
      <c r="F293" s="30"/>
      <c r="I293" s="29"/>
      <c r="J293" s="29"/>
      <c r="L293" s="29"/>
    </row>
    <row r="294" ht="15.75" customHeight="1">
      <c r="C294" s="29"/>
      <c r="D294" s="30"/>
      <c r="F294" s="30"/>
      <c r="I294" s="29"/>
      <c r="J294" s="29"/>
      <c r="L294" s="29"/>
    </row>
    <row r="295" ht="15.75" customHeight="1">
      <c r="C295" s="29"/>
      <c r="D295" s="30"/>
      <c r="F295" s="30"/>
      <c r="I295" s="29"/>
      <c r="J295" s="29"/>
      <c r="L295" s="29"/>
    </row>
    <row r="296" ht="15.75" customHeight="1">
      <c r="C296" s="29"/>
      <c r="D296" s="30"/>
      <c r="F296" s="30"/>
      <c r="I296" s="29"/>
      <c r="J296" s="29"/>
      <c r="L296" s="29"/>
    </row>
    <row r="297" ht="15.75" customHeight="1">
      <c r="C297" s="29"/>
      <c r="D297" s="30"/>
      <c r="F297" s="30"/>
      <c r="I297" s="29"/>
      <c r="J297" s="29"/>
      <c r="L297" s="29"/>
    </row>
    <row r="298" ht="15.75" customHeight="1">
      <c r="C298" s="29"/>
      <c r="D298" s="30"/>
      <c r="F298" s="30"/>
      <c r="I298" s="29"/>
      <c r="J298" s="29"/>
      <c r="L298" s="29"/>
    </row>
    <row r="299" ht="15.75" customHeight="1">
      <c r="C299" s="29"/>
      <c r="D299" s="30"/>
      <c r="F299" s="30"/>
      <c r="I299" s="29"/>
      <c r="J299" s="29"/>
      <c r="L299" s="29"/>
    </row>
    <row r="300" ht="15.75" customHeight="1">
      <c r="C300" s="29"/>
      <c r="D300" s="30"/>
      <c r="F300" s="30"/>
      <c r="I300" s="29"/>
      <c r="J300" s="29"/>
      <c r="L300" s="29"/>
    </row>
    <row r="301" ht="15.75" customHeight="1">
      <c r="C301" s="29"/>
      <c r="D301" s="30"/>
      <c r="F301" s="30"/>
      <c r="I301" s="29"/>
      <c r="J301" s="29"/>
      <c r="L301" s="29"/>
    </row>
    <row r="302" ht="15.75" customHeight="1">
      <c r="C302" s="29"/>
      <c r="D302" s="30"/>
      <c r="F302" s="30"/>
      <c r="I302" s="29"/>
      <c r="J302" s="29"/>
      <c r="L302" s="29"/>
    </row>
    <row r="303" ht="15.75" customHeight="1">
      <c r="C303" s="29"/>
      <c r="D303" s="30"/>
      <c r="F303" s="30"/>
      <c r="I303" s="29"/>
      <c r="J303" s="29"/>
      <c r="L303" s="29"/>
    </row>
    <row r="304" ht="15.75" customHeight="1">
      <c r="C304" s="29"/>
      <c r="D304" s="30"/>
      <c r="F304" s="30"/>
      <c r="I304" s="29"/>
      <c r="J304" s="29"/>
      <c r="L304" s="29"/>
    </row>
    <row r="305" ht="15.75" customHeight="1">
      <c r="C305" s="29"/>
      <c r="D305" s="30"/>
      <c r="F305" s="30"/>
      <c r="I305" s="29"/>
      <c r="J305" s="29"/>
      <c r="L305" s="29"/>
    </row>
    <row r="306" ht="15.75" customHeight="1">
      <c r="C306" s="29"/>
      <c r="D306" s="30"/>
      <c r="F306" s="30"/>
      <c r="I306" s="29"/>
      <c r="J306" s="29"/>
      <c r="L306" s="29"/>
    </row>
    <row r="307" ht="15.75" customHeight="1">
      <c r="C307" s="29"/>
      <c r="D307" s="30"/>
      <c r="F307" s="30"/>
      <c r="I307" s="29"/>
      <c r="J307" s="29"/>
      <c r="L307" s="29"/>
    </row>
    <row r="308" ht="15.75" customHeight="1">
      <c r="C308" s="29"/>
      <c r="D308" s="30"/>
      <c r="F308" s="30"/>
      <c r="I308" s="29"/>
      <c r="J308" s="29"/>
      <c r="L308" s="29"/>
    </row>
    <row r="309" ht="15.75" customHeight="1">
      <c r="C309" s="29"/>
      <c r="D309" s="30"/>
      <c r="F309" s="30"/>
      <c r="I309" s="29"/>
      <c r="J309" s="29"/>
      <c r="L309" s="29"/>
    </row>
    <row r="310" ht="15.75" customHeight="1">
      <c r="C310" s="29"/>
      <c r="D310" s="30"/>
      <c r="F310" s="30"/>
      <c r="I310" s="29"/>
      <c r="J310" s="29"/>
      <c r="L310" s="29"/>
    </row>
    <row r="311" ht="15.75" customHeight="1">
      <c r="C311" s="29"/>
      <c r="D311" s="30"/>
      <c r="F311" s="30"/>
      <c r="I311" s="29"/>
      <c r="J311" s="29"/>
      <c r="L311" s="29"/>
    </row>
    <row r="312" ht="15.75" customHeight="1">
      <c r="C312" s="29"/>
      <c r="D312" s="30"/>
      <c r="F312" s="30"/>
      <c r="I312" s="29"/>
      <c r="J312" s="29"/>
      <c r="L312" s="29"/>
    </row>
    <row r="313" ht="15.75" customHeight="1">
      <c r="C313" s="29"/>
      <c r="D313" s="30"/>
      <c r="F313" s="30"/>
      <c r="I313" s="29"/>
      <c r="J313" s="29"/>
      <c r="L313" s="29"/>
    </row>
    <row r="314" ht="15.75" customHeight="1">
      <c r="C314" s="29"/>
      <c r="D314" s="30"/>
      <c r="F314" s="30"/>
      <c r="I314" s="29"/>
      <c r="J314" s="29"/>
      <c r="L314" s="29"/>
    </row>
    <row r="315" ht="15.75" customHeight="1">
      <c r="C315" s="29"/>
      <c r="D315" s="30"/>
      <c r="F315" s="30"/>
      <c r="I315" s="29"/>
      <c r="J315" s="29"/>
      <c r="L315" s="29"/>
    </row>
    <row r="316" ht="15.75" customHeight="1">
      <c r="C316" s="29"/>
      <c r="D316" s="30"/>
      <c r="F316" s="30"/>
      <c r="I316" s="29"/>
      <c r="J316" s="29"/>
      <c r="L316" s="29"/>
    </row>
    <row r="317" ht="15.75" customHeight="1">
      <c r="C317" s="29"/>
      <c r="D317" s="30"/>
      <c r="F317" s="30"/>
      <c r="I317" s="29"/>
      <c r="J317" s="29"/>
      <c r="L317" s="29"/>
    </row>
    <row r="318" ht="15.75" customHeight="1">
      <c r="C318" s="29"/>
      <c r="D318" s="30"/>
      <c r="F318" s="30"/>
      <c r="I318" s="29"/>
      <c r="J318" s="29"/>
      <c r="L318" s="29"/>
    </row>
    <row r="319" ht="15.75" customHeight="1">
      <c r="C319" s="29"/>
      <c r="D319" s="30"/>
      <c r="F319" s="30"/>
      <c r="I319" s="29"/>
      <c r="J319" s="29"/>
      <c r="L319" s="29"/>
    </row>
    <row r="320" ht="15.75" customHeight="1">
      <c r="C320" s="29"/>
      <c r="D320" s="30"/>
      <c r="F320" s="30"/>
      <c r="I320" s="29"/>
      <c r="J320" s="29"/>
      <c r="L320" s="29"/>
    </row>
    <row r="321" ht="15.75" customHeight="1">
      <c r="C321" s="29"/>
      <c r="D321" s="30"/>
      <c r="F321" s="30"/>
      <c r="I321" s="29"/>
      <c r="J321" s="29"/>
      <c r="L321" s="29"/>
    </row>
    <row r="322" ht="15.75" customHeight="1">
      <c r="C322" s="29"/>
      <c r="D322" s="30"/>
      <c r="F322" s="30"/>
      <c r="I322" s="29"/>
      <c r="J322" s="29"/>
      <c r="L322" s="29"/>
    </row>
    <row r="323" ht="15.75" customHeight="1">
      <c r="C323" s="29"/>
      <c r="D323" s="30"/>
      <c r="F323" s="30"/>
      <c r="I323" s="29"/>
      <c r="J323" s="29"/>
      <c r="L323" s="29"/>
    </row>
    <row r="324" ht="15.75" customHeight="1">
      <c r="C324" s="29"/>
      <c r="D324" s="30"/>
      <c r="F324" s="30"/>
      <c r="I324" s="29"/>
      <c r="J324" s="29"/>
      <c r="L324" s="29"/>
    </row>
    <row r="325" ht="15.75" customHeight="1">
      <c r="C325" s="29"/>
      <c r="D325" s="30"/>
      <c r="F325" s="30"/>
      <c r="I325" s="29"/>
      <c r="J325" s="29"/>
      <c r="L325" s="29"/>
    </row>
    <row r="326" ht="15.75" customHeight="1">
      <c r="C326" s="29"/>
      <c r="D326" s="30"/>
      <c r="F326" s="30"/>
      <c r="I326" s="29"/>
      <c r="J326" s="29"/>
      <c r="L326" s="29"/>
    </row>
    <row r="327" ht="15.75" customHeight="1">
      <c r="C327" s="29"/>
      <c r="D327" s="30"/>
      <c r="F327" s="30"/>
      <c r="I327" s="29"/>
      <c r="J327" s="29"/>
      <c r="L327" s="29"/>
    </row>
    <row r="328" ht="15.75" customHeight="1">
      <c r="C328" s="29"/>
      <c r="D328" s="30"/>
      <c r="F328" s="30"/>
      <c r="I328" s="29"/>
      <c r="J328" s="29"/>
      <c r="L328" s="29"/>
    </row>
    <row r="329" ht="15.75" customHeight="1">
      <c r="C329" s="29"/>
      <c r="D329" s="30"/>
      <c r="F329" s="30"/>
      <c r="I329" s="29"/>
      <c r="J329" s="29"/>
      <c r="L329" s="29"/>
    </row>
    <row r="330" ht="15.75" customHeight="1">
      <c r="C330" s="29"/>
      <c r="D330" s="30"/>
      <c r="F330" s="30"/>
      <c r="I330" s="29"/>
      <c r="J330" s="29"/>
      <c r="L330" s="29"/>
    </row>
    <row r="331" ht="15.75" customHeight="1">
      <c r="C331" s="29"/>
      <c r="D331" s="30"/>
      <c r="F331" s="30"/>
      <c r="I331" s="29"/>
      <c r="J331" s="29"/>
      <c r="L331" s="29"/>
    </row>
    <row r="332" ht="15.75" customHeight="1">
      <c r="C332" s="29"/>
      <c r="D332" s="30"/>
      <c r="F332" s="30"/>
      <c r="I332" s="29"/>
      <c r="J332" s="29"/>
      <c r="L332" s="29"/>
    </row>
    <row r="333" ht="15.75" customHeight="1">
      <c r="C333" s="29"/>
      <c r="D333" s="30"/>
      <c r="F333" s="30"/>
      <c r="I333" s="29"/>
      <c r="J333" s="29"/>
      <c r="L333" s="29"/>
    </row>
    <row r="334" ht="15.75" customHeight="1">
      <c r="C334" s="29"/>
      <c r="D334" s="30"/>
      <c r="F334" s="30"/>
      <c r="I334" s="29"/>
      <c r="J334" s="29"/>
      <c r="L334" s="29"/>
    </row>
    <row r="335" ht="15.75" customHeight="1">
      <c r="C335" s="29"/>
      <c r="D335" s="30"/>
      <c r="F335" s="30"/>
      <c r="I335" s="29"/>
      <c r="J335" s="29"/>
      <c r="L335" s="29"/>
    </row>
    <row r="336" ht="15.75" customHeight="1">
      <c r="C336" s="29"/>
      <c r="D336" s="30"/>
      <c r="F336" s="30"/>
      <c r="I336" s="29"/>
      <c r="J336" s="29"/>
      <c r="L336" s="29"/>
    </row>
    <row r="337" ht="15.75" customHeight="1">
      <c r="C337" s="29"/>
      <c r="D337" s="30"/>
      <c r="F337" s="30"/>
      <c r="I337" s="29"/>
      <c r="J337" s="29"/>
      <c r="L337" s="29"/>
    </row>
    <row r="338" ht="15.75" customHeight="1">
      <c r="C338" s="29"/>
      <c r="D338" s="30"/>
      <c r="F338" s="30"/>
      <c r="I338" s="29"/>
      <c r="J338" s="29"/>
      <c r="L338" s="29"/>
    </row>
    <row r="339" ht="15.75" customHeight="1">
      <c r="C339" s="29"/>
      <c r="D339" s="30"/>
      <c r="F339" s="30"/>
      <c r="I339" s="29"/>
      <c r="J339" s="29"/>
      <c r="L339" s="29"/>
    </row>
    <row r="340" ht="15.75" customHeight="1">
      <c r="C340" s="29"/>
      <c r="D340" s="30"/>
      <c r="F340" s="30"/>
      <c r="I340" s="29"/>
      <c r="J340" s="29"/>
      <c r="L340" s="29"/>
    </row>
    <row r="341" ht="15.75" customHeight="1">
      <c r="C341" s="29"/>
      <c r="D341" s="30"/>
      <c r="F341" s="30"/>
      <c r="I341" s="29"/>
      <c r="J341" s="29"/>
      <c r="L341" s="29"/>
    </row>
    <row r="342" ht="15.75" customHeight="1">
      <c r="C342" s="29"/>
      <c r="D342" s="30"/>
      <c r="F342" s="30"/>
      <c r="I342" s="29"/>
      <c r="J342" s="29"/>
      <c r="L342" s="29"/>
    </row>
    <row r="343" ht="15.75" customHeight="1">
      <c r="C343" s="29"/>
      <c r="D343" s="30"/>
      <c r="F343" s="30"/>
      <c r="I343" s="29"/>
      <c r="J343" s="29"/>
      <c r="L343" s="29"/>
    </row>
    <row r="344" ht="15.75" customHeight="1">
      <c r="C344" s="29"/>
      <c r="D344" s="30"/>
      <c r="F344" s="30"/>
      <c r="I344" s="29"/>
      <c r="J344" s="29"/>
      <c r="L344" s="29"/>
    </row>
    <row r="345" ht="15.75" customHeight="1">
      <c r="C345" s="29"/>
      <c r="D345" s="30"/>
      <c r="F345" s="30"/>
      <c r="I345" s="29"/>
      <c r="J345" s="29"/>
      <c r="L345" s="29"/>
    </row>
    <row r="346" ht="15.75" customHeight="1">
      <c r="C346" s="29"/>
      <c r="D346" s="30"/>
      <c r="F346" s="30"/>
      <c r="I346" s="29"/>
      <c r="J346" s="29"/>
      <c r="L346" s="29"/>
    </row>
    <row r="347" ht="15.75" customHeight="1">
      <c r="C347" s="29"/>
      <c r="D347" s="30"/>
      <c r="F347" s="30"/>
      <c r="I347" s="29"/>
      <c r="J347" s="29"/>
      <c r="L347" s="29"/>
    </row>
    <row r="348" ht="15.75" customHeight="1">
      <c r="C348" s="29"/>
      <c r="D348" s="30"/>
      <c r="F348" s="30"/>
      <c r="I348" s="29"/>
      <c r="J348" s="29"/>
      <c r="L348" s="29"/>
    </row>
    <row r="349" ht="15.75" customHeight="1">
      <c r="C349" s="29"/>
      <c r="D349" s="30"/>
      <c r="F349" s="30"/>
      <c r="I349" s="29"/>
      <c r="J349" s="29"/>
      <c r="L349" s="29"/>
    </row>
    <row r="350" ht="15.75" customHeight="1">
      <c r="C350" s="29"/>
      <c r="D350" s="30"/>
      <c r="F350" s="30"/>
      <c r="I350" s="29"/>
      <c r="J350" s="29"/>
      <c r="L350" s="29"/>
    </row>
    <row r="351" ht="15.75" customHeight="1">
      <c r="C351" s="29"/>
      <c r="D351" s="30"/>
      <c r="F351" s="30"/>
      <c r="I351" s="29"/>
      <c r="J351" s="29"/>
      <c r="L351" s="29"/>
    </row>
    <row r="352" ht="15.75" customHeight="1">
      <c r="C352" s="29"/>
      <c r="D352" s="30"/>
      <c r="F352" s="30"/>
      <c r="I352" s="29"/>
      <c r="J352" s="29"/>
      <c r="L352" s="29"/>
    </row>
    <row r="353" ht="15.75" customHeight="1">
      <c r="C353" s="29"/>
      <c r="D353" s="30"/>
      <c r="F353" s="30"/>
      <c r="I353" s="29"/>
      <c r="J353" s="29"/>
      <c r="L353" s="29"/>
    </row>
    <row r="354" ht="15.75" customHeight="1">
      <c r="C354" s="29"/>
      <c r="D354" s="30"/>
      <c r="F354" s="30"/>
      <c r="I354" s="29"/>
      <c r="J354" s="29"/>
      <c r="L354" s="29"/>
    </row>
    <row r="355" ht="15.75" customHeight="1">
      <c r="C355" s="29"/>
      <c r="D355" s="30"/>
      <c r="F355" s="30"/>
      <c r="I355" s="29"/>
      <c r="J355" s="29"/>
      <c r="L355" s="29"/>
    </row>
    <row r="356" ht="15.75" customHeight="1">
      <c r="C356" s="29"/>
      <c r="D356" s="30"/>
      <c r="F356" s="30"/>
      <c r="I356" s="29"/>
      <c r="J356" s="29"/>
      <c r="L356" s="29"/>
    </row>
    <row r="357" ht="15.75" customHeight="1">
      <c r="C357" s="29"/>
      <c r="D357" s="30"/>
      <c r="F357" s="30"/>
      <c r="I357" s="29"/>
      <c r="J357" s="29"/>
      <c r="L357" s="29"/>
    </row>
    <row r="358" ht="15.75" customHeight="1">
      <c r="C358" s="29"/>
      <c r="D358" s="30"/>
      <c r="F358" s="30"/>
      <c r="I358" s="29"/>
      <c r="J358" s="29"/>
      <c r="L358" s="29"/>
    </row>
    <row r="359" ht="15.75" customHeight="1">
      <c r="C359" s="29"/>
      <c r="D359" s="30"/>
      <c r="F359" s="30"/>
      <c r="I359" s="29"/>
      <c r="J359" s="29"/>
      <c r="L359" s="29"/>
    </row>
    <row r="360" ht="15.75" customHeight="1">
      <c r="C360" s="29"/>
      <c r="D360" s="30"/>
      <c r="F360" s="30"/>
      <c r="I360" s="29"/>
      <c r="J360" s="29"/>
      <c r="L360" s="29"/>
    </row>
    <row r="361" ht="15.75" customHeight="1">
      <c r="C361" s="29"/>
      <c r="D361" s="30"/>
      <c r="F361" s="30"/>
      <c r="I361" s="29"/>
      <c r="J361" s="29"/>
      <c r="L361" s="29"/>
    </row>
    <row r="362" ht="15.75" customHeight="1">
      <c r="C362" s="29"/>
      <c r="D362" s="30"/>
      <c r="F362" s="30"/>
      <c r="I362" s="29"/>
      <c r="J362" s="29"/>
      <c r="L362" s="29"/>
    </row>
    <row r="363" ht="15.75" customHeight="1">
      <c r="C363" s="29"/>
      <c r="D363" s="30"/>
      <c r="F363" s="30"/>
      <c r="I363" s="29"/>
      <c r="J363" s="29"/>
      <c r="L363" s="29"/>
    </row>
    <row r="364" ht="15.75" customHeight="1">
      <c r="C364" s="29"/>
      <c r="D364" s="30"/>
      <c r="F364" s="30"/>
      <c r="I364" s="29"/>
      <c r="J364" s="29"/>
      <c r="L364" s="29"/>
    </row>
    <row r="365" ht="15.75" customHeight="1">
      <c r="C365" s="29"/>
      <c r="D365" s="30"/>
      <c r="F365" s="30"/>
      <c r="I365" s="29"/>
      <c r="J365" s="29"/>
      <c r="L365" s="29"/>
    </row>
    <row r="366" ht="15.75" customHeight="1">
      <c r="C366" s="29"/>
      <c r="D366" s="30"/>
      <c r="F366" s="30"/>
      <c r="I366" s="29"/>
      <c r="J366" s="29"/>
      <c r="L366" s="29"/>
    </row>
    <row r="367" ht="15.75" customHeight="1">
      <c r="C367" s="29"/>
      <c r="D367" s="30"/>
      <c r="F367" s="30"/>
      <c r="I367" s="29"/>
      <c r="J367" s="29"/>
      <c r="L367" s="29"/>
    </row>
    <row r="368" ht="15.75" customHeight="1">
      <c r="C368" s="29"/>
      <c r="D368" s="30"/>
      <c r="F368" s="30"/>
      <c r="I368" s="29"/>
      <c r="J368" s="29"/>
      <c r="L368" s="29"/>
    </row>
    <row r="369" ht="15.75" customHeight="1">
      <c r="C369" s="29"/>
      <c r="D369" s="30"/>
      <c r="F369" s="30"/>
      <c r="I369" s="29"/>
      <c r="J369" s="29"/>
      <c r="L369" s="29"/>
    </row>
    <row r="370" ht="15.75" customHeight="1">
      <c r="C370" s="29"/>
      <c r="D370" s="30"/>
      <c r="F370" s="30"/>
      <c r="I370" s="29"/>
      <c r="J370" s="29"/>
      <c r="L370" s="29"/>
    </row>
    <row r="371" ht="15.75" customHeight="1">
      <c r="C371" s="29"/>
      <c r="D371" s="30"/>
      <c r="F371" s="30"/>
      <c r="I371" s="29"/>
      <c r="J371" s="29"/>
      <c r="L371" s="29"/>
    </row>
    <row r="372" ht="15.75" customHeight="1">
      <c r="C372" s="29"/>
      <c r="D372" s="30"/>
      <c r="F372" s="30"/>
      <c r="I372" s="29"/>
      <c r="J372" s="29"/>
      <c r="L372" s="29"/>
    </row>
    <row r="373" ht="15.75" customHeight="1">
      <c r="C373" s="29"/>
      <c r="D373" s="30"/>
      <c r="F373" s="30"/>
      <c r="I373" s="29"/>
      <c r="J373" s="29"/>
      <c r="L373" s="29"/>
    </row>
    <row r="374" ht="15.75" customHeight="1">
      <c r="C374" s="29"/>
      <c r="D374" s="30"/>
      <c r="F374" s="30"/>
      <c r="I374" s="29"/>
      <c r="J374" s="29"/>
      <c r="L374" s="29"/>
    </row>
    <row r="375" ht="15.75" customHeight="1">
      <c r="C375" s="29"/>
      <c r="D375" s="30"/>
      <c r="F375" s="30"/>
      <c r="I375" s="29"/>
      <c r="J375" s="29"/>
      <c r="L375" s="29"/>
    </row>
    <row r="376" ht="15.75" customHeight="1">
      <c r="C376" s="29"/>
      <c r="D376" s="30"/>
      <c r="F376" s="30"/>
      <c r="I376" s="29"/>
      <c r="J376" s="29"/>
      <c r="L376" s="29"/>
    </row>
    <row r="377" ht="15.75" customHeight="1">
      <c r="C377" s="29"/>
      <c r="D377" s="30"/>
      <c r="F377" s="30"/>
      <c r="I377" s="29"/>
      <c r="J377" s="29"/>
      <c r="L377" s="29"/>
    </row>
    <row r="378" ht="15.75" customHeight="1">
      <c r="C378" s="29"/>
      <c r="D378" s="30"/>
      <c r="F378" s="30"/>
      <c r="I378" s="29"/>
      <c r="J378" s="29"/>
      <c r="L378" s="29"/>
    </row>
    <row r="379" ht="15.75" customHeight="1">
      <c r="C379" s="29"/>
      <c r="D379" s="30"/>
      <c r="F379" s="30"/>
      <c r="I379" s="29"/>
      <c r="J379" s="29"/>
      <c r="L379" s="29"/>
    </row>
    <row r="380" ht="15.75" customHeight="1">
      <c r="C380" s="29"/>
      <c r="D380" s="30"/>
      <c r="F380" s="30"/>
      <c r="I380" s="29"/>
      <c r="J380" s="29"/>
      <c r="L380" s="29"/>
    </row>
    <row r="381" ht="15.75" customHeight="1">
      <c r="C381" s="29"/>
      <c r="D381" s="30"/>
      <c r="F381" s="30"/>
      <c r="I381" s="29"/>
      <c r="J381" s="29"/>
      <c r="L381" s="29"/>
    </row>
    <row r="382" ht="15.75" customHeight="1">
      <c r="C382" s="29"/>
      <c r="D382" s="30"/>
      <c r="F382" s="30"/>
      <c r="I382" s="29"/>
      <c r="J382" s="29"/>
      <c r="L382" s="29"/>
    </row>
    <row r="383" ht="15.75" customHeight="1">
      <c r="C383" s="29"/>
      <c r="D383" s="30"/>
      <c r="F383" s="30"/>
      <c r="I383" s="29"/>
      <c r="J383" s="29"/>
      <c r="L383" s="29"/>
    </row>
    <row r="384" ht="15.75" customHeight="1">
      <c r="C384" s="29"/>
      <c r="D384" s="30"/>
      <c r="F384" s="30"/>
      <c r="I384" s="29"/>
      <c r="J384" s="29"/>
      <c r="L384" s="29"/>
    </row>
    <row r="385" ht="15.75" customHeight="1">
      <c r="C385" s="29"/>
      <c r="D385" s="30"/>
      <c r="F385" s="30"/>
      <c r="I385" s="29"/>
      <c r="J385" s="29"/>
      <c r="L385" s="29"/>
    </row>
    <row r="386" ht="15.75" customHeight="1">
      <c r="C386" s="29"/>
      <c r="D386" s="30"/>
      <c r="F386" s="30"/>
      <c r="I386" s="29"/>
      <c r="J386" s="29"/>
      <c r="L386" s="29"/>
    </row>
    <row r="387" ht="15.75" customHeight="1">
      <c r="C387" s="29"/>
      <c r="D387" s="30"/>
      <c r="F387" s="30"/>
      <c r="I387" s="29"/>
      <c r="J387" s="29"/>
      <c r="L387" s="29"/>
    </row>
    <row r="388" ht="15.75" customHeight="1">
      <c r="C388" s="29"/>
      <c r="D388" s="30"/>
      <c r="F388" s="30"/>
      <c r="I388" s="29"/>
      <c r="J388" s="29"/>
      <c r="L388" s="29"/>
    </row>
    <row r="389" ht="15.75" customHeight="1">
      <c r="C389" s="29"/>
      <c r="D389" s="30"/>
      <c r="F389" s="30"/>
      <c r="I389" s="29"/>
      <c r="J389" s="29"/>
      <c r="L389" s="29"/>
    </row>
    <row r="390" ht="15.75" customHeight="1">
      <c r="C390" s="29"/>
      <c r="D390" s="30"/>
      <c r="F390" s="30"/>
      <c r="I390" s="29"/>
      <c r="J390" s="29"/>
      <c r="L390" s="29"/>
    </row>
    <row r="391" ht="15.75" customHeight="1">
      <c r="C391" s="29"/>
      <c r="D391" s="30"/>
      <c r="F391" s="30"/>
      <c r="I391" s="29"/>
      <c r="J391" s="29"/>
      <c r="L391" s="29"/>
    </row>
    <row r="392" ht="15.75" customHeight="1">
      <c r="C392" s="29"/>
      <c r="D392" s="30"/>
      <c r="F392" s="30"/>
      <c r="I392" s="29"/>
      <c r="J392" s="29"/>
      <c r="L392" s="29"/>
    </row>
    <row r="393" ht="15.75" customHeight="1">
      <c r="C393" s="29"/>
      <c r="D393" s="30"/>
      <c r="F393" s="30"/>
      <c r="I393" s="29"/>
      <c r="J393" s="29"/>
      <c r="L393" s="29"/>
    </row>
    <row r="394" ht="15.75" customHeight="1">
      <c r="C394" s="29"/>
      <c r="D394" s="30"/>
      <c r="F394" s="30"/>
      <c r="I394" s="29"/>
      <c r="J394" s="29"/>
      <c r="L394" s="29"/>
    </row>
    <row r="395" ht="15.75" customHeight="1">
      <c r="C395" s="29"/>
      <c r="D395" s="30"/>
      <c r="F395" s="30"/>
      <c r="I395" s="29"/>
      <c r="J395" s="29"/>
      <c r="L395" s="29"/>
    </row>
    <row r="396" ht="15.75" customHeight="1">
      <c r="C396" s="29"/>
      <c r="D396" s="30"/>
      <c r="F396" s="30"/>
      <c r="I396" s="29"/>
      <c r="J396" s="29"/>
      <c r="L396" s="29"/>
    </row>
    <row r="397" ht="15.75" customHeight="1">
      <c r="C397" s="29"/>
      <c r="D397" s="30"/>
      <c r="F397" s="30"/>
      <c r="I397" s="29"/>
      <c r="J397" s="29"/>
      <c r="L397" s="29"/>
    </row>
    <row r="398" ht="15.75" customHeight="1">
      <c r="C398" s="29"/>
      <c r="D398" s="30"/>
      <c r="F398" s="30"/>
      <c r="I398" s="29"/>
      <c r="J398" s="29"/>
      <c r="L398" s="29"/>
    </row>
    <row r="399" ht="15.75" customHeight="1">
      <c r="C399" s="29"/>
      <c r="D399" s="30"/>
      <c r="F399" s="30"/>
      <c r="I399" s="29"/>
      <c r="J399" s="29"/>
      <c r="L399" s="29"/>
    </row>
    <row r="400" ht="15.75" customHeight="1">
      <c r="C400" s="29"/>
      <c r="D400" s="30"/>
      <c r="F400" s="30"/>
      <c r="I400" s="29"/>
      <c r="J400" s="29"/>
      <c r="L400" s="29"/>
    </row>
    <row r="401" ht="15.75" customHeight="1">
      <c r="C401" s="29"/>
      <c r="D401" s="30"/>
      <c r="F401" s="30"/>
      <c r="I401" s="29"/>
      <c r="J401" s="29"/>
      <c r="L401" s="29"/>
    </row>
    <row r="402" ht="15.75" customHeight="1">
      <c r="C402" s="29"/>
      <c r="D402" s="30"/>
      <c r="F402" s="30"/>
      <c r="I402" s="29"/>
      <c r="J402" s="29"/>
      <c r="L402" s="29"/>
    </row>
    <row r="403" ht="15.75" customHeight="1">
      <c r="C403" s="29"/>
      <c r="D403" s="30"/>
      <c r="F403" s="30"/>
      <c r="I403" s="29"/>
      <c r="J403" s="29"/>
      <c r="L403" s="29"/>
    </row>
    <row r="404" ht="15.75" customHeight="1">
      <c r="C404" s="29"/>
      <c r="D404" s="30"/>
      <c r="F404" s="30"/>
      <c r="I404" s="29"/>
      <c r="J404" s="29"/>
      <c r="L404" s="29"/>
    </row>
    <row r="405" ht="15.75" customHeight="1">
      <c r="C405" s="29"/>
      <c r="D405" s="30"/>
      <c r="F405" s="30"/>
      <c r="I405" s="29"/>
      <c r="J405" s="29"/>
      <c r="L405" s="29"/>
    </row>
    <row r="406" ht="15.75" customHeight="1">
      <c r="C406" s="29"/>
      <c r="D406" s="30"/>
      <c r="F406" s="30"/>
      <c r="I406" s="29"/>
      <c r="J406" s="29"/>
      <c r="L406" s="29"/>
    </row>
    <row r="407" ht="15.75" customHeight="1">
      <c r="C407" s="29"/>
      <c r="D407" s="30"/>
      <c r="F407" s="30"/>
      <c r="I407" s="29"/>
      <c r="J407" s="29"/>
      <c r="L407" s="29"/>
    </row>
    <row r="408" ht="15.75" customHeight="1">
      <c r="C408" s="29"/>
      <c r="D408" s="30"/>
      <c r="F408" s="30"/>
      <c r="I408" s="29"/>
      <c r="J408" s="29"/>
      <c r="L408" s="29"/>
    </row>
    <row r="409" ht="15.75" customHeight="1">
      <c r="C409" s="29"/>
      <c r="D409" s="30"/>
      <c r="F409" s="30"/>
      <c r="I409" s="29"/>
      <c r="J409" s="29"/>
      <c r="L409" s="29"/>
    </row>
    <row r="410" ht="15.75" customHeight="1">
      <c r="C410" s="29"/>
      <c r="D410" s="30"/>
      <c r="F410" s="30"/>
      <c r="I410" s="29"/>
      <c r="J410" s="29"/>
      <c r="L410" s="29"/>
    </row>
    <row r="411" ht="15.75" customHeight="1">
      <c r="C411" s="29"/>
      <c r="D411" s="30"/>
      <c r="F411" s="30"/>
      <c r="I411" s="29"/>
      <c r="J411" s="29"/>
      <c r="L411" s="29"/>
    </row>
    <row r="412" ht="15.75" customHeight="1">
      <c r="C412" s="29"/>
      <c r="D412" s="30"/>
      <c r="F412" s="30"/>
      <c r="I412" s="29"/>
      <c r="J412" s="29"/>
      <c r="L412" s="29"/>
    </row>
    <row r="413" ht="15.75" customHeight="1">
      <c r="C413" s="29"/>
      <c r="D413" s="30"/>
      <c r="F413" s="30"/>
      <c r="I413" s="29"/>
      <c r="J413" s="29"/>
      <c r="L413" s="29"/>
    </row>
    <row r="414" ht="15.75" customHeight="1">
      <c r="C414" s="29"/>
      <c r="D414" s="30"/>
      <c r="F414" s="30"/>
      <c r="I414" s="29"/>
      <c r="J414" s="29"/>
      <c r="L414" s="29"/>
    </row>
    <row r="415" ht="15.75" customHeight="1">
      <c r="C415" s="29"/>
      <c r="D415" s="30"/>
      <c r="F415" s="30"/>
      <c r="I415" s="29"/>
      <c r="J415" s="29"/>
      <c r="L415" s="29"/>
    </row>
    <row r="416" ht="15.75" customHeight="1">
      <c r="C416" s="29"/>
      <c r="D416" s="30"/>
      <c r="F416" s="30"/>
      <c r="I416" s="29"/>
      <c r="J416" s="29"/>
      <c r="L416" s="29"/>
    </row>
    <row r="417" ht="15.75" customHeight="1">
      <c r="C417" s="29"/>
      <c r="D417" s="30"/>
      <c r="F417" s="30"/>
      <c r="I417" s="29"/>
      <c r="J417" s="29"/>
      <c r="L417" s="29"/>
    </row>
    <row r="418" ht="15.75" customHeight="1">
      <c r="C418" s="29"/>
      <c r="D418" s="30"/>
      <c r="F418" s="30"/>
      <c r="I418" s="29"/>
      <c r="J418" s="29"/>
      <c r="L418" s="29"/>
    </row>
    <row r="419" ht="15.75" customHeight="1">
      <c r="C419" s="29"/>
      <c r="D419" s="30"/>
      <c r="F419" s="30"/>
      <c r="I419" s="29"/>
      <c r="J419" s="29"/>
      <c r="L419" s="29"/>
    </row>
    <row r="420" ht="15.75" customHeight="1">
      <c r="C420" s="29"/>
      <c r="D420" s="30"/>
      <c r="F420" s="30"/>
      <c r="I420" s="29"/>
      <c r="J420" s="29"/>
      <c r="L420" s="29"/>
    </row>
    <row r="421" ht="15.75" customHeight="1">
      <c r="C421" s="29"/>
      <c r="D421" s="30"/>
      <c r="F421" s="30"/>
      <c r="I421" s="29"/>
      <c r="J421" s="29"/>
      <c r="L421" s="29"/>
    </row>
    <row r="422" ht="15.75" customHeight="1">
      <c r="C422" s="29"/>
      <c r="D422" s="30"/>
      <c r="F422" s="30"/>
      <c r="I422" s="29"/>
      <c r="J422" s="29"/>
      <c r="L422" s="29"/>
    </row>
    <row r="423" ht="15.75" customHeight="1">
      <c r="C423" s="29"/>
      <c r="D423" s="30"/>
      <c r="F423" s="30"/>
      <c r="I423" s="29"/>
      <c r="J423" s="29"/>
      <c r="L423" s="29"/>
    </row>
    <row r="424" ht="15.75" customHeight="1">
      <c r="C424" s="29"/>
      <c r="D424" s="30"/>
      <c r="F424" s="30"/>
      <c r="I424" s="29"/>
      <c r="J424" s="29"/>
      <c r="L424" s="29"/>
    </row>
    <row r="425" ht="15.75" customHeight="1">
      <c r="C425" s="29"/>
      <c r="D425" s="30"/>
      <c r="F425" s="30"/>
      <c r="I425" s="29"/>
      <c r="J425" s="29"/>
      <c r="L425" s="29"/>
    </row>
    <row r="426" ht="15.75" customHeight="1">
      <c r="C426" s="29"/>
      <c r="D426" s="30"/>
      <c r="F426" s="30"/>
      <c r="I426" s="29"/>
      <c r="J426" s="29"/>
      <c r="L426" s="29"/>
    </row>
    <row r="427" ht="15.75" customHeight="1">
      <c r="C427" s="29"/>
      <c r="D427" s="30"/>
      <c r="F427" s="30"/>
      <c r="I427" s="29"/>
      <c r="J427" s="29"/>
      <c r="L427" s="29"/>
    </row>
    <row r="428" ht="15.75" customHeight="1">
      <c r="C428" s="29"/>
      <c r="D428" s="30"/>
      <c r="F428" s="30"/>
      <c r="I428" s="29"/>
      <c r="J428" s="29"/>
      <c r="L428" s="29"/>
    </row>
    <row r="429" ht="15.75" customHeight="1">
      <c r="C429" s="29"/>
      <c r="D429" s="30"/>
      <c r="F429" s="30"/>
      <c r="I429" s="29"/>
      <c r="J429" s="29"/>
      <c r="L429" s="29"/>
    </row>
    <row r="430" ht="15.75" customHeight="1">
      <c r="C430" s="29"/>
      <c r="D430" s="30"/>
      <c r="F430" s="30"/>
      <c r="I430" s="29"/>
      <c r="J430" s="29"/>
      <c r="L430" s="29"/>
    </row>
    <row r="431" ht="15.75" customHeight="1">
      <c r="C431" s="29"/>
      <c r="D431" s="30"/>
      <c r="F431" s="30"/>
      <c r="I431" s="29"/>
      <c r="J431" s="29"/>
      <c r="L431" s="29"/>
    </row>
    <row r="432" ht="15.75" customHeight="1">
      <c r="C432" s="29"/>
      <c r="D432" s="30"/>
      <c r="F432" s="30"/>
      <c r="I432" s="29"/>
      <c r="J432" s="29"/>
      <c r="L432" s="29"/>
    </row>
    <row r="433" ht="15.75" customHeight="1">
      <c r="C433" s="29"/>
      <c r="D433" s="30"/>
      <c r="F433" s="30"/>
      <c r="I433" s="29"/>
      <c r="J433" s="29"/>
      <c r="L433" s="29"/>
    </row>
    <row r="434" ht="15.75" customHeight="1">
      <c r="C434" s="29"/>
      <c r="D434" s="30"/>
      <c r="F434" s="30"/>
      <c r="I434" s="29"/>
      <c r="J434" s="29"/>
      <c r="L434" s="29"/>
    </row>
    <row r="435" ht="15.75" customHeight="1">
      <c r="C435" s="29"/>
      <c r="D435" s="30"/>
      <c r="F435" s="30"/>
      <c r="I435" s="29"/>
      <c r="J435" s="29"/>
      <c r="L435" s="29"/>
    </row>
    <row r="436" ht="15.75" customHeight="1">
      <c r="C436" s="29"/>
      <c r="D436" s="30"/>
      <c r="F436" s="30"/>
      <c r="I436" s="29"/>
      <c r="J436" s="29"/>
      <c r="L436" s="29"/>
    </row>
    <row r="437" ht="15.75" customHeight="1">
      <c r="C437" s="29"/>
      <c r="D437" s="30"/>
      <c r="F437" s="30"/>
      <c r="I437" s="29"/>
      <c r="J437" s="29"/>
      <c r="L437" s="29"/>
    </row>
    <row r="438" ht="15.75" customHeight="1">
      <c r="C438" s="29"/>
      <c r="D438" s="30"/>
      <c r="F438" s="30"/>
      <c r="I438" s="29"/>
      <c r="J438" s="29"/>
      <c r="L438" s="29"/>
    </row>
    <row r="439" ht="15.75" customHeight="1">
      <c r="C439" s="29"/>
      <c r="D439" s="30"/>
      <c r="F439" s="30"/>
      <c r="I439" s="29"/>
      <c r="J439" s="29"/>
      <c r="L439" s="29"/>
    </row>
    <row r="440" ht="15.75" customHeight="1">
      <c r="C440" s="29"/>
      <c r="D440" s="30"/>
      <c r="F440" s="30"/>
      <c r="I440" s="29"/>
      <c r="J440" s="29"/>
      <c r="L440" s="29"/>
    </row>
    <row r="441" ht="15.75" customHeight="1">
      <c r="C441" s="29"/>
      <c r="D441" s="30"/>
      <c r="F441" s="30"/>
      <c r="I441" s="29"/>
      <c r="J441" s="29"/>
      <c r="L441" s="29"/>
    </row>
    <row r="442" ht="15.75" customHeight="1">
      <c r="C442" s="29"/>
      <c r="D442" s="30"/>
      <c r="F442" s="30"/>
      <c r="I442" s="29"/>
      <c r="J442" s="29"/>
      <c r="L442" s="29"/>
    </row>
    <row r="443" ht="15.75" customHeight="1">
      <c r="C443" s="29"/>
      <c r="D443" s="30"/>
      <c r="F443" s="30"/>
      <c r="I443" s="29"/>
      <c r="J443" s="29"/>
      <c r="L443" s="29"/>
    </row>
    <row r="444" ht="15.75" customHeight="1">
      <c r="C444" s="29"/>
      <c r="D444" s="30"/>
      <c r="F444" s="30"/>
      <c r="I444" s="29"/>
      <c r="J444" s="29"/>
      <c r="L444" s="29"/>
    </row>
    <row r="445" ht="15.75" customHeight="1">
      <c r="C445" s="29"/>
      <c r="D445" s="30"/>
      <c r="F445" s="30"/>
      <c r="I445" s="29"/>
      <c r="J445" s="29"/>
      <c r="L445" s="29"/>
    </row>
    <row r="446" ht="15.75" customHeight="1">
      <c r="C446" s="29"/>
      <c r="D446" s="30"/>
      <c r="F446" s="30"/>
      <c r="I446" s="29"/>
      <c r="J446" s="29"/>
      <c r="L446" s="29"/>
    </row>
    <row r="447" ht="15.75" customHeight="1">
      <c r="C447" s="29"/>
      <c r="D447" s="30"/>
      <c r="F447" s="30"/>
      <c r="I447" s="29"/>
      <c r="J447" s="29"/>
      <c r="L447" s="29"/>
    </row>
    <row r="448" ht="15.75" customHeight="1">
      <c r="C448" s="29"/>
      <c r="D448" s="30"/>
      <c r="F448" s="30"/>
      <c r="I448" s="29"/>
      <c r="J448" s="29"/>
      <c r="L448" s="29"/>
    </row>
    <row r="449" ht="15.75" customHeight="1">
      <c r="C449" s="29"/>
      <c r="D449" s="30"/>
      <c r="F449" s="30"/>
      <c r="I449" s="29"/>
      <c r="J449" s="29"/>
      <c r="L449" s="29"/>
    </row>
    <row r="450" ht="15.75" customHeight="1">
      <c r="C450" s="29"/>
      <c r="D450" s="30"/>
      <c r="F450" s="30"/>
      <c r="I450" s="29"/>
      <c r="J450" s="29"/>
      <c r="L450" s="29"/>
    </row>
    <row r="451" ht="15.75" customHeight="1">
      <c r="C451" s="29"/>
      <c r="D451" s="30"/>
      <c r="F451" s="30"/>
      <c r="I451" s="29"/>
      <c r="J451" s="29"/>
      <c r="L451" s="29"/>
    </row>
    <row r="452" ht="15.75" customHeight="1">
      <c r="C452" s="29"/>
      <c r="D452" s="30"/>
      <c r="F452" s="30"/>
      <c r="I452" s="29"/>
      <c r="J452" s="29"/>
      <c r="L452" s="29"/>
    </row>
    <row r="453" ht="15.75" customHeight="1">
      <c r="C453" s="29"/>
      <c r="D453" s="30"/>
      <c r="F453" s="30"/>
      <c r="I453" s="29"/>
      <c r="J453" s="29"/>
      <c r="L453" s="29"/>
    </row>
    <row r="454" ht="15.75" customHeight="1">
      <c r="C454" s="29"/>
      <c r="D454" s="30"/>
      <c r="F454" s="30"/>
      <c r="I454" s="29"/>
      <c r="J454" s="29"/>
      <c r="L454" s="29"/>
    </row>
    <row r="455" ht="15.75" customHeight="1">
      <c r="C455" s="29"/>
      <c r="D455" s="30"/>
      <c r="F455" s="30"/>
      <c r="I455" s="29"/>
      <c r="J455" s="29"/>
      <c r="L455" s="29"/>
    </row>
    <row r="456" ht="15.75" customHeight="1">
      <c r="C456" s="29"/>
      <c r="D456" s="30"/>
      <c r="F456" s="30"/>
      <c r="I456" s="29"/>
      <c r="J456" s="29"/>
      <c r="L456" s="29"/>
    </row>
    <row r="457" ht="15.75" customHeight="1">
      <c r="C457" s="29"/>
      <c r="D457" s="30"/>
      <c r="F457" s="30"/>
      <c r="I457" s="29"/>
      <c r="J457" s="29"/>
      <c r="L457" s="29"/>
    </row>
    <row r="458" ht="15.75" customHeight="1">
      <c r="C458" s="29"/>
      <c r="D458" s="30"/>
      <c r="F458" s="30"/>
      <c r="I458" s="29"/>
      <c r="J458" s="29"/>
      <c r="L458" s="29"/>
    </row>
    <row r="459" ht="15.75" customHeight="1">
      <c r="C459" s="29"/>
      <c r="D459" s="30"/>
      <c r="F459" s="30"/>
      <c r="I459" s="29"/>
      <c r="J459" s="29"/>
      <c r="L459" s="29"/>
    </row>
    <row r="460" ht="15.75" customHeight="1">
      <c r="C460" s="29"/>
      <c r="D460" s="30"/>
      <c r="F460" s="30"/>
      <c r="I460" s="29"/>
      <c r="J460" s="29"/>
      <c r="L460" s="29"/>
    </row>
    <row r="461" ht="15.75" customHeight="1">
      <c r="C461" s="29"/>
      <c r="D461" s="30"/>
      <c r="F461" s="30"/>
      <c r="I461" s="29"/>
      <c r="J461" s="29"/>
      <c r="L461" s="29"/>
    </row>
    <row r="462" ht="15.75" customHeight="1">
      <c r="C462" s="29"/>
      <c r="D462" s="30"/>
      <c r="F462" s="30"/>
      <c r="I462" s="29"/>
      <c r="J462" s="29"/>
      <c r="L462" s="29"/>
    </row>
    <row r="463" ht="15.75" customHeight="1">
      <c r="C463" s="29"/>
      <c r="D463" s="30"/>
      <c r="F463" s="30"/>
      <c r="I463" s="29"/>
      <c r="J463" s="29"/>
      <c r="L463" s="29"/>
    </row>
    <row r="464" ht="15.75" customHeight="1">
      <c r="C464" s="29"/>
      <c r="D464" s="30"/>
      <c r="F464" s="30"/>
      <c r="I464" s="29"/>
      <c r="J464" s="29"/>
      <c r="L464" s="29"/>
    </row>
    <row r="465" ht="15.75" customHeight="1">
      <c r="C465" s="29"/>
      <c r="D465" s="30"/>
      <c r="F465" s="30"/>
      <c r="I465" s="29"/>
      <c r="J465" s="29"/>
      <c r="L465" s="29"/>
    </row>
    <row r="466" ht="15.75" customHeight="1">
      <c r="C466" s="29"/>
      <c r="D466" s="30"/>
      <c r="F466" s="30"/>
      <c r="I466" s="29"/>
      <c r="J466" s="29"/>
      <c r="L466" s="29"/>
    </row>
    <row r="467" ht="15.75" customHeight="1">
      <c r="C467" s="29"/>
      <c r="D467" s="30"/>
      <c r="F467" s="30"/>
      <c r="I467" s="29"/>
      <c r="J467" s="29"/>
      <c r="L467" s="29"/>
    </row>
    <row r="468" ht="15.75" customHeight="1">
      <c r="C468" s="29"/>
      <c r="D468" s="30"/>
      <c r="F468" s="30"/>
      <c r="I468" s="29"/>
      <c r="J468" s="29"/>
      <c r="L468" s="29"/>
    </row>
    <row r="469" ht="15.75" customHeight="1">
      <c r="C469" s="29"/>
      <c r="D469" s="30"/>
      <c r="F469" s="30"/>
      <c r="I469" s="29"/>
      <c r="J469" s="29"/>
      <c r="L469" s="29"/>
    </row>
    <row r="470" ht="15.75" customHeight="1">
      <c r="C470" s="29"/>
      <c r="D470" s="30"/>
      <c r="F470" s="30"/>
      <c r="I470" s="29"/>
      <c r="J470" s="29"/>
      <c r="L470" s="29"/>
    </row>
    <row r="471" ht="15.75" customHeight="1">
      <c r="C471" s="29"/>
      <c r="D471" s="30"/>
      <c r="F471" s="30"/>
      <c r="I471" s="29"/>
      <c r="J471" s="29"/>
      <c r="L471" s="29"/>
    </row>
    <row r="472" ht="15.75" customHeight="1">
      <c r="C472" s="29"/>
      <c r="D472" s="30"/>
      <c r="F472" s="30"/>
      <c r="I472" s="29"/>
      <c r="J472" s="29"/>
      <c r="L472" s="29"/>
    </row>
    <row r="473" ht="15.75" customHeight="1">
      <c r="C473" s="29"/>
      <c r="D473" s="30"/>
      <c r="F473" s="30"/>
      <c r="I473" s="29"/>
      <c r="J473" s="29"/>
      <c r="L473" s="29"/>
    </row>
    <row r="474" ht="15.75" customHeight="1">
      <c r="C474" s="29"/>
      <c r="D474" s="30"/>
      <c r="F474" s="30"/>
      <c r="I474" s="29"/>
      <c r="J474" s="29"/>
      <c r="L474" s="29"/>
    </row>
    <row r="475" ht="15.75" customHeight="1">
      <c r="C475" s="29"/>
      <c r="D475" s="30"/>
      <c r="F475" s="30"/>
      <c r="I475" s="29"/>
      <c r="J475" s="29"/>
      <c r="L475" s="29"/>
    </row>
    <row r="476" ht="15.75" customHeight="1">
      <c r="C476" s="29"/>
      <c r="D476" s="30"/>
      <c r="F476" s="30"/>
      <c r="I476" s="29"/>
      <c r="J476" s="29"/>
      <c r="L476" s="29"/>
    </row>
    <row r="477" ht="15.75" customHeight="1">
      <c r="C477" s="29"/>
      <c r="D477" s="30"/>
      <c r="F477" s="30"/>
      <c r="I477" s="29"/>
      <c r="J477" s="29"/>
      <c r="L477" s="29"/>
    </row>
    <row r="478" ht="15.75" customHeight="1">
      <c r="C478" s="29"/>
      <c r="D478" s="30"/>
      <c r="F478" s="30"/>
      <c r="I478" s="29"/>
      <c r="J478" s="29"/>
      <c r="L478" s="29"/>
    </row>
    <row r="479" ht="15.75" customHeight="1">
      <c r="C479" s="29"/>
      <c r="D479" s="30"/>
      <c r="F479" s="30"/>
      <c r="I479" s="29"/>
      <c r="J479" s="29"/>
      <c r="L479" s="29"/>
    </row>
    <row r="480" ht="15.75" customHeight="1">
      <c r="C480" s="29"/>
      <c r="D480" s="30"/>
      <c r="F480" s="30"/>
      <c r="I480" s="29"/>
      <c r="J480" s="29"/>
      <c r="L480" s="29"/>
    </row>
    <row r="481" ht="15.75" customHeight="1">
      <c r="C481" s="29"/>
      <c r="D481" s="30"/>
      <c r="F481" s="30"/>
      <c r="I481" s="29"/>
      <c r="J481" s="29"/>
      <c r="L481" s="29"/>
    </row>
    <row r="482" ht="15.75" customHeight="1">
      <c r="C482" s="29"/>
      <c r="D482" s="30"/>
      <c r="F482" s="30"/>
      <c r="I482" s="29"/>
      <c r="J482" s="29"/>
      <c r="L482" s="29"/>
    </row>
    <row r="483" ht="15.75" customHeight="1">
      <c r="C483" s="29"/>
      <c r="D483" s="30"/>
      <c r="F483" s="30"/>
      <c r="I483" s="29"/>
      <c r="J483" s="29"/>
      <c r="L483" s="29"/>
    </row>
    <row r="484" ht="15.75" customHeight="1">
      <c r="C484" s="29"/>
      <c r="D484" s="30"/>
      <c r="F484" s="30"/>
      <c r="I484" s="29"/>
      <c r="J484" s="29"/>
      <c r="L484" s="29"/>
    </row>
    <row r="485" ht="15.75" customHeight="1">
      <c r="C485" s="29"/>
      <c r="D485" s="30"/>
      <c r="F485" s="30"/>
      <c r="I485" s="29"/>
      <c r="J485" s="29"/>
      <c r="L485" s="29"/>
    </row>
    <row r="486" ht="15.75" customHeight="1">
      <c r="C486" s="29"/>
      <c r="D486" s="30"/>
      <c r="F486" s="30"/>
      <c r="I486" s="29"/>
      <c r="J486" s="29"/>
      <c r="L486" s="29"/>
    </row>
    <row r="487" ht="15.75" customHeight="1">
      <c r="C487" s="29"/>
      <c r="D487" s="30"/>
      <c r="F487" s="30"/>
      <c r="I487" s="29"/>
      <c r="J487" s="29"/>
      <c r="L487" s="29"/>
    </row>
    <row r="488" ht="15.75" customHeight="1">
      <c r="C488" s="29"/>
      <c r="D488" s="30"/>
      <c r="F488" s="30"/>
      <c r="I488" s="29"/>
      <c r="J488" s="29"/>
      <c r="L488" s="29"/>
    </row>
    <row r="489" ht="15.75" customHeight="1">
      <c r="C489" s="29"/>
      <c r="D489" s="30"/>
      <c r="F489" s="30"/>
      <c r="I489" s="29"/>
      <c r="J489" s="29"/>
      <c r="L489" s="29"/>
    </row>
    <row r="490" ht="15.75" customHeight="1">
      <c r="C490" s="29"/>
      <c r="D490" s="30"/>
      <c r="F490" s="30"/>
      <c r="I490" s="29"/>
      <c r="J490" s="29"/>
      <c r="L490" s="29"/>
    </row>
    <row r="491" ht="15.75" customHeight="1">
      <c r="C491" s="29"/>
      <c r="D491" s="30"/>
      <c r="F491" s="30"/>
      <c r="I491" s="29"/>
      <c r="J491" s="29"/>
      <c r="L491" s="29"/>
    </row>
    <row r="492" ht="15.75" customHeight="1">
      <c r="C492" s="29"/>
      <c r="D492" s="30"/>
      <c r="F492" s="30"/>
      <c r="I492" s="29"/>
      <c r="J492" s="29"/>
      <c r="L492" s="29"/>
    </row>
    <row r="493" ht="15.75" customHeight="1">
      <c r="C493" s="29"/>
      <c r="D493" s="30"/>
      <c r="F493" s="30"/>
      <c r="I493" s="29"/>
      <c r="J493" s="29"/>
      <c r="L493" s="29"/>
    </row>
    <row r="494" ht="15.75" customHeight="1">
      <c r="C494" s="29"/>
      <c r="D494" s="30"/>
      <c r="F494" s="30"/>
      <c r="I494" s="29"/>
      <c r="J494" s="29"/>
      <c r="L494" s="29"/>
    </row>
    <row r="495" ht="15.75" customHeight="1">
      <c r="C495" s="29"/>
      <c r="D495" s="30"/>
      <c r="F495" s="30"/>
      <c r="I495" s="29"/>
      <c r="J495" s="29"/>
      <c r="L495" s="29"/>
    </row>
    <row r="496" ht="15.75" customHeight="1">
      <c r="C496" s="29"/>
      <c r="D496" s="30"/>
      <c r="F496" s="30"/>
      <c r="I496" s="29"/>
      <c r="J496" s="29"/>
      <c r="L496" s="29"/>
    </row>
    <row r="497" ht="15.75" customHeight="1">
      <c r="C497" s="29"/>
      <c r="D497" s="30"/>
      <c r="F497" s="30"/>
      <c r="I497" s="29"/>
      <c r="J497" s="29"/>
      <c r="L497" s="29"/>
    </row>
    <row r="498" ht="15.75" customHeight="1">
      <c r="C498" s="29"/>
      <c r="D498" s="30"/>
      <c r="F498" s="30"/>
      <c r="I498" s="29"/>
      <c r="J498" s="29"/>
      <c r="L498" s="29"/>
    </row>
    <row r="499" ht="15.75" customHeight="1">
      <c r="C499" s="29"/>
      <c r="D499" s="30"/>
      <c r="F499" s="30"/>
      <c r="I499" s="29"/>
      <c r="J499" s="29"/>
      <c r="L499" s="29"/>
    </row>
    <row r="500" ht="15.75" customHeight="1">
      <c r="C500" s="29"/>
      <c r="D500" s="30"/>
      <c r="F500" s="30"/>
      <c r="I500" s="29"/>
      <c r="J500" s="29"/>
      <c r="L500" s="29"/>
    </row>
    <row r="501" ht="15.75" customHeight="1">
      <c r="C501" s="29"/>
      <c r="D501" s="30"/>
      <c r="F501" s="30"/>
      <c r="I501" s="29"/>
      <c r="J501" s="29"/>
      <c r="L501" s="29"/>
    </row>
    <row r="502" ht="15.75" customHeight="1">
      <c r="C502" s="29"/>
      <c r="D502" s="30"/>
      <c r="F502" s="30"/>
      <c r="I502" s="29"/>
      <c r="J502" s="29"/>
      <c r="L502" s="29"/>
    </row>
    <row r="503" ht="15.75" customHeight="1">
      <c r="C503" s="29"/>
      <c r="D503" s="30"/>
      <c r="F503" s="30"/>
      <c r="I503" s="29"/>
      <c r="J503" s="29"/>
      <c r="L503" s="29"/>
    </row>
    <row r="504" ht="15.75" customHeight="1">
      <c r="C504" s="29"/>
      <c r="D504" s="30"/>
      <c r="F504" s="30"/>
      <c r="I504" s="29"/>
      <c r="J504" s="29"/>
      <c r="L504" s="29"/>
    </row>
    <row r="505" ht="15.75" customHeight="1">
      <c r="C505" s="29"/>
      <c r="D505" s="30"/>
      <c r="F505" s="30"/>
      <c r="I505" s="29"/>
      <c r="J505" s="29"/>
      <c r="L505" s="29"/>
    </row>
    <row r="506" ht="15.75" customHeight="1">
      <c r="C506" s="29"/>
      <c r="D506" s="30"/>
      <c r="F506" s="30"/>
      <c r="I506" s="29"/>
      <c r="J506" s="29"/>
      <c r="L506" s="29"/>
    </row>
    <row r="507" ht="15.75" customHeight="1">
      <c r="C507" s="29"/>
      <c r="D507" s="30"/>
      <c r="F507" s="30"/>
      <c r="I507" s="29"/>
      <c r="J507" s="29"/>
      <c r="L507" s="29"/>
    </row>
    <row r="508" ht="15.75" customHeight="1">
      <c r="C508" s="29"/>
      <c r="D508" s="30"/>
      <c r="F508" s="30"/>
      <c r="I508" s="29"/>
      <c r="J508" s="29"/>
      <c r="L508" s="29"/>
    </row>
    <row r="509" ht="15.75" customHeight="1">
      <c r="C509" s="29"/>
      <c r="D509" s="30"/>
      <c r="F509" s="30"/>
      <c r="I509" s="29"/>
      <c r="J509" s="29"/>
      <c r="L509" s="29"/>
    </row>
    <row r="510" ht="15.75" customHeight="1">
      <c r="C510" s="29"/>
      <c r="D510" s="30"/>
      <c r="F510" s="30"/>
      <c r="I510" s="29"/>
      <c r="J510" s="29"/>
      <c r="L510" s="29"/>
    </row>
    <row r="511" ht="15.75" customHeight="1">
      <c r="C511" s="29"/>
      <c r="D511" s="30"/>
      <c r="F511" s="30"/>
      <c r="I511" s="29"/>
      <c r="J511" s="29"/>
      <c r="L511" s="29"/>
    </row>
    <row r="512" ht="15.75" customHeight="1">
      <c r="C512" s="29"/>
      <c r="D512" s="30"/>
      <c r="F512" s="30"/>
      <c r="I512" s="29"/>
      <c r="J512" s="29"/>
      <c r="L512" s="29"/>
    </row>
    <row r="513" ht="15.75" customHeight="1">
      <c r="C513" s="29"/>
      <c r="D513" s="30"/>
      <c r="F513" s="30"/>
      <c r="I513" s="29"/>
      <c r="J513" s="29"/>
      <c r="L513" s="29"/>
    </row>
    <row r="514" ht="15.75" customHeight="1">
      <c r="C514" s="29"/>
      <c r="D514" s="30"/>
      <c r="F514" s="30"/>
      <c r="I514" s="29"/>
      <c r="J514" s="29"/>
      <c r="L514" s="29"/>
    </row>
    <row r="515" ht="15.75" customHeight="1">
      <c r="C515" s="29"/>
      <c r="D515" s="30"/>
      <c r="F515" s="30"/>
      <c r="I515" s="29"/>
      <c r="J515" s="29"/>
      <c r="L515" s="29"/>
    </row>
    <row r="516" ht="15.75" customHeight="1">
      <c r="C516" s="29"/>
      <c r="D516" s="30"/>
      <c r="F516" s="30"/>
      <c r="I516" s="29"/>
      <c r="J516" s="29"/>
      <c r="L516" s="29"/>
    </row>
    <row r="517" ht="15.75" customHeight="1">
      <c r="C517" s="29"/>
      <c r="D517" s="30"/>
      <c r="F517" s="30"/>
      <c r="I517" s="29"/>
      <c r="J517" s="29"/>
      <c r="L517" s="29"/>
    </row>
    <row r="518" ht="15.75" customHeight="1">
      <c r="C518" s="29"/>
      <c r="D518" s="30"/>
      <c r="F518" s="30"/>
      <c r="I518" s="29"/>
      <c r="J518" s="29"/>
      <c r="L518" s="29"/>
    </row>
    <row r="519" ht="15.75" customHeight="1">
      <c r="C519" s="29"/>
      <c r="D519" s="30"/>
      <c r="F519" s="30"/>
      <c r="I519" s="29"/>
      <c r="J519" s="29"/>
      <c r="L519" s="29"/>
    </row>
    <row r="520" ht="15.75" customHeight="1">
      <c r="C520" s="29"/>
      <c r="D520" s="30"/>
      <c r="F520" s="30"/>
      <c r="I520" s="29"/>
      <c r="J520" s="29"/>
      <c r="L520" s="29"/>
    </row>
    <row r="521" ht="15.75" customHeight="1">
      <c r="C521" s="29"/>
      <c r="D521" s="30"/>
      <c r="F521" s="30"/>
      <c r="I521" s="29"/>
      <c r="J521" s="29"/>
      <c r="L521" s="29"/>
    </row>
    <row r="522" ht="15.75" customHeight="1">
      <c r="C522" s="29"/>
      <c r="D522" s="30"/>
      <c r="F522" s="30"/>
      <c r="I522" s="29"/>
      <c r="J522" s="29"/>
      <c r="L522" s="29"/>
    </row>
    <row r="523" ht="15.75" customHeight="1">
      <c r="C523" s="29"/>
      <c r="D523" s="30"/>
      <c r="F523" s="30"/>
      <c r="I523" s="29"/>
      <c r="J523" s="29"/>
      <c r="L523" s="29"/>
    </row>
    <row r="524" ht="15.75" customHeight="1">
      <c r="C524" s="29"/>
      <c r="D524" s="30"/>
      <c r="F524" s="30"/>
      <c r="I524" s="29"/>
      <c r="J524" s="29"/>
      <c r="L524" s="29"/>
    </row>
    <row r="525" ht="15.75" customHeight="1">
      <c r="C525" s="29"/>
      <c r="D525" s="30"/>
      <c r="F525" s="30"/>
      <c r="I525" s="29"/>
      <c r="J525" s="29"/>
      <c r="L525" s="29"/>
    </row>
    <row r="526" ht="15.75" customHeight="1">
      <c r="C526" s="29"/>
      <c r="D526" s="30"/>
      <c r="F526" s="30"/>
      <c r="I526" s="29"/>
      <c r="J526" s="29"/>
      <c r="L526" s="29"/>
    </row>
    <row r="527" ht="15.75" customHeight="1">
      <c r="C527" s="29"/>
      <c r="D527" s="30"/>
      <c r="F527" s="30"/>
      <c r="I527" s="29"/>
      <c r="J527" s="29"/>
      <c r="L527" s="29"/>
    </row>
    <row r="528" ht="15.75" customHeight="1">
      <c r="C528" s="29"/>
      <c r="D528" s="30"/>
      <c r="F528" s="30"/>
      <c r="I528" s="29"/>
      <c r="J528" s="29"/>
      <c r="L528" s="29"/>
    </row>
    <row r="529" ht="15.75" customHeight="1">
      <c r="C529" s="29"/>
      <c r="D529" s="30"/>
      <c r="F529" s="30"/>
      <c r="I529" s="29"/>
      <c r="J529" s="29"/>
      <c r="L529" s="29"/>
    </row>
    <row r="530" ht="15.75" customHeight="1">
      <c r="C530" s="29"/>
      <c r="D530" s="30"/>
      <c r="F530" s="30"/>
      <c r="I530" s="29"/>
      <c r="J530" s="29"/>
      <c r="L530" s="29"/>
    </row>
    <row r="531" ht="15.75" customHeight="1">
      <c r="C531" s="29"/>
      <c r="D531" s="30"/>
      <c r="F531" s="30"/>
      <c r="I531" s="29"/>
      <c r="J531" s="29"/>
      <c r="L531" s="29"/>
    </row>
    <row r="532" ht="15.75" customHeight="1">
      <c r="C532" s="29"/>
      <c r="D532" s="30"/>
      <c r="F532" s="30"/>
      <c r="I532" s="29"/>
      <c r="J532" s="29"/>
      <c r="L532" s="29"/>
    </row>
    <row r="533" ht="15.75" customHeight="1">
      <c r="C533" s="29"/>
      <c r="D533" s="30"/>
      <c r="F533" s="30"/>
      <c r="I533" s="29"/>
      <c r="J533" s="29"/>
      <c r="L533" s="29"/>
    </row>
    <row r="534" ht="15.75" customHeight="1">
      <c r="C534" s="29"/>
      <c r="D534" s="30"/>
      <c r="F534" s="30"/>
      <c r="I534" s="29"/>
      <c r="J534" s="29"/>
      <c r="L534" s="29"/>
    </row>
    <row r="535" ht="15.75" customHeight="1">
      <c r="C535" s="29"/>
      <c r="D535" s="30"/>
      <c r="F535" s="30"/>
      <c r="I535" s="29"/>
      <c r="J535" s="29"/>
      <c r="L535" s="29"/>
    </row>
    <row r="536" ht="15.75" customHeight="1">
      <c r="C536" s="29"/>
      <c r="D536" s="30"/>
      <c r="F536" s="30"/>
      <c r="I536" s="29"/>
      <c r="J536" s="29"/>
      <c r="L536" s="29"/>
    </row>
    <row r="537" ht="15.75" customHeight="1">
      <c r="C537" s="29"/>
      <c r="D537" s="30"/>
      <c r="F537" s="30"/>
      <c r="I537" s="29"/>
      <c r="J537" s="29"/>
      <c r="L537" s="29"/>
    </row>
    <row r="538" ht="15.75" customHeight="1">
      <c r="C538" s="29"/>
      <c r="D538" s="30"/>
      <c r="F538" s="30"/>
      <c r="I538" s="29"/>
      <c r="J538" s="29"/>
      <c r="L538" s="29"/>
    </row>
    <row r="539" ht="15.75" customHeight="1">
      <c r="C539" s="29"/>
      <c r="D539" s="30"/>
      <c r="F539" s="30"/>
      <c r="I539" s="29"/>
      <c r="J539" s="29"/>
      <c r="L539" s="29"/>
    </row>
    <row r="540" ht="15.75" customHeight="1">
      <c r="C540" s="29"/>
      <c r="D540" s="30"/>
      <c r="F540" s="30"/>
      <c r="I540" s="29"/>
      <c r="J540" s="29"/>
      <c r="L540" s="29"/>
    </row>
    <row r="541" ht="15.75" customHeight="1">
      <c r="C541" s="29"/>
      <c r="D541" s="30"/>
      <c r="F541" s="30"/>
      <c r="I541" s="29"/>
      <c r="J541" s="29"/>
      <c r="L541" s="29"/>
    </row>
    <row r="542" ht="15.75" customHeight="1">
      <c r="C542" s="29"/>
      <c r="D542" s="30"/>
      <c r="F542" s="30"/>
      <c r="I542" s="29"/>
      <c r="J542" s="29"/>
      <c r="L542" s="29"/>
    </row>
    <row r="543" ht="15.75" customHeight="1">
      <c r="C543" s="29"/>
      <c r="D543" s="30"/>
      <c r="F543" s="30"/>
      <c r="I543" s="29"/>
      <c r="J543" s="29"/>
      <c r="L543" s="29"/>
    </row>
    <row r="544" ht="15.75" customHeight="1">
      <c r="C544" s="29"/>
      <c r="D544" s="30"/>
      <c r="F544" s="30"/>
      <c r="I544" s="29"/>
      <c r="J544" s="29"/>
      <c r="L544" s="29"/>
    </row>
    <row r="545" ht="15.75" customHeight="1">
      <c r="C545" s="29"/>
      <c r="D545" s="30"/>
      <c r="F545" s="30"/>
      <c r="I545" s="29"/>
      <c r="J545" s="29"/>
      <c r="L545" s="29"/>
    </row>
    <row r="546" ht="15.75" customHeight="1">
      <c r="C546" s="29"/>
      <c r="D546" s="30"/>
      <c r="F546" s="30"/>
      <c r="I546" s="29"/>
      <c r="J546" s="29"/>
      <c r="L546" s="29"/>
    </row>
    <row r="547" ht="15.75" customHeight="1">
      <c r="C547" s="29"/>
      <c r="D547" s="30"/>
      <c r="F547" s="30"/>
      <c r="I547" s="29"/>
      <c r="J547" s="29"/>
      <c r="L547" s="29"/>
    </row>
    <row r="548" ht="15.75" customHeight="1">
      <c r="C548" s="29"/>
      <c r="D548" s="30"/>
      <c r="F548" s="30"/>
      <c r="I548" s="29"/>
      <c r="J548" s="29"/>
      <c r="L548" s="29"/>
    </row>
    <row r="549" ht="15.75" customHeight="1">
      <c r="C549" s="29"/>
      <c r="D549" s="30"/>
      <c r="F549" s="30"/>
      <c r="I549" s="29"/>
      <c r="J549" s="29"/>
      <c r="L549" s="29"/>
    </row>
    <row r="550" ht="15.75" customHeight="1">
      <c r="C550" s="29"/>
      <c r="D550" s="30"/>
      <c r="F550" s="30"/>
      <c r="I550" s="29"/>
      <c r="J550" s="29"/>
      <c r="L550" s="29"/>
    </row>
    <row r="551" ht="15.75" customHeight="1">
      <c r="C551" s="29"/>
      <c r="D551" s="30"/>
      <c r="F551" s="30"/>
      <c r="I551" s="29"/>
      <c r="J551" s="29"/>
      <c r="L551" s="29"/>
    </row>
    <row r="552" ht="15.75" customHeight="1">
      <c r="C552" s="29"/>
      <c r="D552" s="30"/>
      <c r="F552" s="30"/>
      <c r="I552" s="29"/>
      <c r="J552" s="29"/>
      <c r="L552" s="29"/>
    </row>
    <row r="553" ht="15.75" customHeight="1">
      <c r="C553" s="29"/>
      <c r="D553" s="30"/>
      <c r="F553" s="30"/>
      <c r="I553" s="29"/>
      <c r="J553" s="29"/>
      <c r="L553" s="29"/>
    </row>
    <row r="554" ht="15.75" customHeight="1">
      <c r="C554" s="29"/>
      <c r="D554" s="30"/>
      <c r="F554" s="30"/>
      <c r="I554" s="29"/>
      <c r="J554" s="29"/>
      <c r="L554" s="29"/>
    </row>
    <row r="555" ht="15.75" customHeight="1">
      <c r="C555" s="29"/>
      <c r="D555" s="30"/>
      <c r="F555" s="30"/>
      <c r="I555" s="29"/>
      <c r="J555" s="29"/>
      <c r="L555" s="29"/>
    </row>
    <row r="556" ht="15.75" customHeight="1">
      <c r="C556" s="29"/>
      <c r="D556" s="30"/>
      <c r="F556" s="30"/>
      <c r="I556" s="29"/>
      <c r="J556" s="29"/>
      <c r="L556" s="29"/>
    </row>
    <row r="557" ht="15.75" customHeight="1">
      <c r="C557" s="29"/>
      <c r="D557" s="30"/>
      <c r="F557" s="30"/>
      <c r="I557" s="29"/>
      <c r="J557" s="29"/>
      <c r="L557" s="29"/>
    </row>
    <row r="558" ht="15.75" customHeight="1">
      <c r="C558" s="29"/>
      <c r="D558" s="30"/>
      <c r="F558" s="30"/>
      <c r="I558" s="29"/>
      <c r="J558" s="29"/>
      <c r="L558" s="29"/>
    </row>
    <row r="559" ht="15.75" customHeight="1">
      <c r="C559" s="29"/>
      <c r="D559" s="30"/>
      <c r="F559" s="30"/>
      <c r="I559" s="29"/>
      <c r="J559" s="29"/>
      <c r="L559" s="29"/>
    </row>
    <row r="560" ht="15.75" customHeight="1">
      <c r="C560" s="29"/>
      <c r="D560" s="30"/>
      <c r="F560" s="30"/>
      <c r="I560" s="29"/>
      <c r="J560" s="29"/>
      <c r="L560" s="29"/>
    </row>
    <row r="561" ht="15.75" customHeight="1">
      <c r="C561" s="29"/>
      <c r="D561" s="30"/>
      <c r="F561" s="30"/>
      <c r="I561" s="29"/>
      <c r="J561" s="29"/>
      <c r="L561" s="29"/>
    </row>
    <row r="562" ht="15.75" customHeight="1">
      <c r="C562" s="29"/>
      <c r="D562" s="30"/>
      <c r="F562" s="30"/>
      <c r="I562" s="29"/>
      <c r="J562" s="29"/>
      <c r="L562" s="29"/>
    </row>
    <row r="563" ht="15.75" customHeight="1">
      <c r="C563" s="29"/>
      <c r="D563" s="30"/>
      <c r="F563" s="30"/>
      <c r="I563" s="29"/>
      <c r="J563" s="29"/>
      <c r="L563" s="29"/>
    </row>
    <row r="564" ht="15.75" customHeight="1">
      <c r="C564" s="29"/>
      <c r="D564" s="30"/>
      <c r="F564" s="30"/>
      <c r="I564" s="29"/>
      <c r="J564" s="29"/>
      <c r="L564" s="29"/>
    </row>
    <row r="565" ht="15.75" customHeight="1">
      <c r="C565" s="29"/>
      <c r="D565" s="30"/>
      <c r="F565" s="30"/>
      <c r="I565" s="29"/>
      <c r="J565" s="29"/>
      <c r="L565" s="29"/>
    </row>
    <row r="566" ht="15.75" customHeight="1">
      <c r="C566" s="29"/>
      <c r="D566" s="30"/>
      <c r="F566" s="30"/>
      <c r="I566" s="29"/>
      <c r="J566" s="29"/>
      <c r="L566" s="29"/>
    </row>
    <row r="567" ht="15.75" customHeight="1">
      <c r="C567" s="29"/>
      <c r="D567" s="30"/>
      <c r="F567" s="30"/>
      <c r="I567" s="29"/>
      <c r="J567" s="29"/>
      <c r="L567" s="29"/>
    </row>
    <row r="568" ht="15.75" customHeight="1">
      <c r="C568" s="29"/>
      <c r="D568" s="30"/>
      <c r="F568" s="30"/>
      <c r="I568" s="29"/>
      <c r="J568" s="29"/>
      <c r="L568" s="29"/>
    </row>
    <row r="569" ht="15.75" customHeight="1">
      <c r="C569" s="29"/>
      <c r="D569" s="30"/>
      <c r="F569" s="30"/>
      <c r="I569" s="29"/>
      <c r="J569" s="29"/>
      <c r="L569" s="29"/>
    </row>
    <row r="570" ht="15.75" customHeight="1">
      <c r="C570" s="29"/>
      <c r="D570" s="30"/>
      <c r="F570" s="30"/>
      <c r="I570" s="29"/>
      <c r="J570" s="29"/>
      <c r="L570" s="29"/>
    </row>
    <row r="571" ht="15.75" customHeight="1">
      <c r="C571" s="29"/>
      <c r="D571" s="30"/>
      <c r="F571" s="30"/>
      <c r="I571" s="29"/>
      <c r="J571" s="29"/>
      <c r="L571" s="29"/>
    </row>
    <row r="572" ht="15.75" customHeight="1">
      <c r="C572" s="29"/>
      <c r="D572" s="30"/>
      <c r="F572" s="30"/>
      <c r="I572" s="29"/>
      <c r="J572" s="29"/>
      <c r="L572" s="29"/>
    </row>
    <row r="573" ht="15.75" customHeight="1">
      <c r="C573" s="29"/>
      <c r="D573" s="30"/>
      <c r="F573" s="30"/>
      <c r="I573" s="29"/>
      <c r="J573" s="29"/>
      <c r="L573" s="29"/>
    </row>
    <row r="574" ht="15.75" customHeight="1">
      <c r="C574" s="29"/>
      <c r="D574" s="30"/>
      <c r="F574" s="30"/>
      <c r="I574" s="29"/>
      <c r="J574" s="29"/>
      <c r="L574" s="29"/>
    </row>
    <row r="575" ht="15.75" customHeight="1">
      <c r="C575" s="29"/>
      <c r="D575" s="30"/>
      <c r="F575" s="30"/>
      <c r="I575" s="29"/>
      <c r="J575" s="29"/>
      <c r="L575" s="29"/>
    </row>
    <row r="576" ht="15.75" customHeight="1">
      <c r="C576" s="29"/>
      <c r="D576" s="30"/>
      <c r="F576" s="30"/>
      <c r="I576" s="29"/>
      <c r="J576" s="29"/>
      <c r="L576" s="29"/>
    </row>
    <row r="577" ht="15.75" customHeight="1">
      <c r="C577" s="29"/>
      <c r="D577" s="30"/>
      <c r="F577" s="30"/>
      <c r="I577" s="29"/>
      <c r="J577" s="29"/>
      <c r="L577" s="29"/>
    </row>
    <row r="578" ht="15.75" customHeight="1">
      <c r="C578" s="29"/>
      <c r="D578" s="30"/>
      <c r="F578" s="30"/>
      <c r="I578" s="29"/>
      <c r="J578" s="29"/>
      <c r="L578" s="29"/>
    </row>
    <row r="579" ht="15.75" customHeight="1">
      <c r="C579" s="29"/>
      <c r="D579" s="30"/>
      <c r="F579" s="30"/>
      <c r="I579" s="29"/>
      <c r="J579" s="29"/>
      <c r="L579" s="29"/>
    </row>
    <row r="580" ht="15.75" customHeight="1">
      <c r="C580" s="29"/>
      <c r="D580" s="30"/>
      <c r="F580" s="30"/>
      <c r="I580" s="29"/>
      <c r="J580" s="29"/>
      <c r="L580" s="29"/>
    </row>
    <row r="581" ht="15.75" customHeight="1">
      <c r="C581" s="29"/>
      <c r="D581" s="30"/>
      <c r="F581" s="30"/>
      <c r="I581" s="29"/>
      <c r="J581" s="29"/>
      <c r="L581" s="29"/>
    </row>
    <row r="582" ht="15.75" customHeight="1">
      <c r="C582" s="29"/>
      <c r="D582" s="30"/>
      <c r="F582" s="30"/>
      <c r="I582" s="29"/>
      <c r="J582" s="29"/>
      <c r="L582" s="29"/>
    </row>
    <row r="583" ht="15.75" customHeight="1">
      <c r="C583" s="29"/>
      <c r="D583" s="30"/>
      <c r="F583" s="30"/>
      <c r="I583" s="29"/>
      <c r="J583" s="29"/>
      <c r="L583" s="29"/>
    </row>
    <row r="584" ht="15.75" customHeight="1">
      <c r="C584" s="29"/>
      <c r="D584" s="30"/>
      <c r="F584" s="30"/>
      <c r="I584" s="29"/>
      <c r="J584" s="29"/>
      <c r="L584" s="29"/>
    </row>
    <row r="585" ht="15.75" customHeight="1">
      <c r="C585" s="29"/>
      <c r="D585" s="30"/>
      <c r="F585" s="30"/>
      <c r="I585" s="29"/>
      <c r="J585" s="29"/>
      <c r="L585" s="29"/>
    </row>
    <row r="586" ht="15.75" customHeight="1">
      <c r="C586" s="29"/>
      <c r="D586" s="30"/>
      <c r="F586" s="30"/>
      <c r="I586" s="29"/>
      <c r="J586" s="29"/>
      <c r="L586" s="29"/>
    </row>
    <row r="587" ht="15.75" customHeight="1">
      <c r="C587" s="29"/>
      <c r="D587" s="30"/>
      <c r="F587" s="30"/>
      <c r="I587" s="29"/>
      <c r="J587" s="29"/>
      <c r="L587" s="29"/>
    </row>
    <row r="588" ht="15.75" customHeight="1">
      <c r="C588" s="29"/>
      <c r="D588" s="30"/>
      <c r="F588" s="30"/>
      <c r="I588" s="29"/>
      <c r="J588" s="29"/>
      <c r="L588" s="29"/>
    </row>
    <row r="589" ht="15.75" customHeight="1">
      <c r="C589" s="29"/>
      <c r="D589" s="30"/>
      <c r="F589" s="30"/>
      <c r="I589" s="29"/>
      <c r="J589" s="29"/>
      <c r="L589" s="29"/>
    </row>
    <row r="590" ht="15.75" customHeight="1">
      <c r="C590" s="29"/>
      <c r="D590" s="30"/>
      <c r="F590" s="30"/>
      <c r="I590" s="29"/>
      <c r="J590" s="29"/>
      <c r="L590" s="29"/>
    </row>
    <row r="591" ht="15.75" customHeight="1">
      <c r="C591" s="29"/>
      <c r="D591" s="30"/>
      <c r="F591" s="30"/>
      <c r="I591" s="29"/>
      <c r="J591" s="29"/>
      <c r="L591" s="29"/>
    </row>
    <row r="592" ht="15.75" customHeight="1">
      <c r="C592" s="29"/>
      <c r="D592" s="30"/>
      <c r="F592" s="30"/>
      <c r="I592" s="29"/>
      <c r="J592" s="29"/>
      <c r="L592" s="29"/>
    </row>
    <row r="593" ht="15.75" customHeight="1">
      <c r="C593" s="29"/>
      <c r="D593" s="30"/>
      <c r="F593" s="30"/>
      <c r="I593" s="29"/>
      <c r="J593" s="29"/>
      <c r="L593" s="29"/>
    </row>
    <row r="594" ht="15.75" customHeight="1">
      <c r="C594" s="29"/>
      <c r="D594" s="30"/>
      <c r="F594" s="30"/>
      <c r="I594" s="29"/>
      <c r="J594" s="29"/>
      <c r="L594" s="29"/>
    </row>
    <row r="595" ht="15.75" customHeight="1">
      <c r="C595" s="29"/>
      <c r="D595" s="30"/>
      <c r="F595" s="30"/>
      <c r="I595" s="29"/>
      <c r="J595" s="29"/>
      <c r="L595" s="29"/>
    </row>
    <row r="596" ht="15.75" customHeight="1">
      <c r="C596" s="29"/>
      <c r="D596" s="30"/>
      <c r="F596" s="30"/>
      <c r="I596" s="29"/>
      <c r="J596" s="29"/>
      <c r="L596" s="29"/>
    </row>
    <row r="597" ht="15.75" customHeight="1">
      <c r="C597" s="29"/>
      <c r="D597" s="30"/>
      <c r="F597" s="30"/>
      <c r="I597" s="29"/>
      <c r="J597" s="29"/>
      <c r="L597" s="29"/>
    </row>
    <row r="598" ht="15.75" customHeight="1">
      <c r="C598" s="29"/>
      <c r="D598" s="30"/>
      <c r="F598" s="30"/>
      <c r="I598" s="29"/>
      <c r="J598" s="29"/>
      <c r="L598" s="29"/>
    </row>
    <row r="599" ht="15.75" customHeight="1">
      <c r="C599" s="29"/>
      <c r="D599" s="30"/>
      <c r="F599" s="30"/>
      <c r="I599" s="29"/>
      <c r="J599" s="29"/>
      <c r="L599" s="29"/>
    </row>
    <row r="600" ht="15.75" customHeight="1">
      <c r="C600" s="29"/>
      <c r="D600" s="30"/>
      <c r="F600" s="30"/>
      <c r="I600" s="29"/>
      <c r="J600" s="29"/>
      <c r="L600" s="29"/>
    </row>
    <row r="601" ht="15.75" customHeight="1">
      <c r="C601" s="29"/>
      <c r="D601" s="30"/>
      <c r="F601" s="30"/>
      <c r="I601" s="29"/>
      <c r="J601" s="29"/>
      <c r="L601" s="29"/>
    </row>
    <row r="602" ht="15.75" customHeight="1">
      <c r="C602" s="29"/>
      <c r="D602" s="30"/>
      <c r="F602" s="30"/>
      <c r="I602" s="29"/>
      <c r="J602" s="29"/>
      <c r="L602" s="29"/>
    </row>
    <row r="603" ht="15.75" customHeight="1">
      <c r="C603" s="29"/>
      <c r="D603" s="30"/>
      <c r="F603" s="30"/>
      <c r="I603" s="29"/>
      <c r="J603" s="29"/>
      <c r="L603" s="29"/>
    </row>
    <row r="604" ht="15.75" customHeight="1">
      <c r="C604" s="29"/>
      <c r="D604" s="30"/>
      <c r="F604" s="30"/>
      <c r="I604" s="29"/>
      <c r="J604" s="29"/>
      <c r="L604" s="29"/>
    </row>
    <row r="605" ht="15.75" customHeight="1">
      <c r="C605" s="29"/>
      <c r="D605" s="30"/>
      <c r="F605" s="30"/>
      <c r="I605" s="29"/>
      <c r="J605" s="29"/>
      <c r="L605" s="29"/>
    </row>
    <row r="606" ht="15.75" customHeight="1">
      <c r="C606" s="29"/>
      <c r="D606" s="30"/>
      <c r="F606" s="30"/>
      <c r="I606" s="29"/>
      <c r="J606" s="29"/>
      <c r="L606" s="29"/>
    </row>
    <row r="607" ht="15.75" customHeight="1">
      <c r="C607" s="29"/>
      <c r="D607" s="30"/>
      <c r="F607" s="30"/>
      <c r="I607" s="29"/>
      <c r="J607" s="29"/>
      <c r="L607" s="29"/>
    </row>
    <row r="608" ht="15.75" customHeight="1">
      <c r="C608" s="29"/>
      <c r="D608" s="30"/>
      <c r="F608" s="30"/>
      <c r="I608" s="29"/>
      <c r="J608" s="29"/>
      <c r="L608" s="29"/>
    </row>
    <row r="609" ht="15.75" customHeight="1">
      <c r="C609" s="29"/>
      <c r="D609" s="30"/>
      <c r="F609" s="30"/>
      <c r="I609" s="29"/>
      <c r="J609" s="29"/>
      <c r="L609" s="29"/>
    </row>
    <row r="610" ht="15.75" customHeight="1">
      <c r="C610" s="29"/>
      <c r="D610" s="30"/>
      <c r="F610" s="30"/>
      <c r="I610" s="29"/>
      <c r="J610" s="29"/>
      <c r="L610" s="29"/>
    </row>
    <row r="611" ht="15.75" customHeight="1">
      <c r="C611" s="29"/>
      <c r="D611" s="30"/>
      <c r="F611" s="30"/>
      <c r="I611" s="29"/>
      <c r="J611" s="29"/>
      <c r="L611" s="29"/>
    </row>
    <row r="612" ht="15.75" customHeight="1">
      <c r="C612" s="29"/>
      <c r="D612" s="30"/>
      <c r="F612" s="30"/>
      <c r="I612" s="29"/>
      <c r="J612" s="29"/>
      <c r="L612" s="29"/>
    </row>
    <row r="613" ht="15.75" customHeight="1">
      <c r="C613" s="29"/>
      <c r="D613" s="30"/>
      <c r="F613" s="30"/>
      <c r="I613" s="29"/>
      <c r="J613" s="29"/>
      <c r="L613" s="29"/>
    </row>
    <row r="614" ht="15.75" customHeight="1">
      <c r="C614" s="29"/>
      <c r="D614" s="30"/>
      <c r="F614" s="30"/>
      <c r="I614" s="29"/>
      <c r="J614" s="29"/>
      <c r="L614" s="29"/>
    </row>
    <row r="615" ht="15.75" customHeight="1">
      <c r="C615" s="29"/>
      <c r="D615" s="30"/>
      <c r="F615" s="30"/>
      <c r="I615" s="29"/>
      <c r="J615" s="29"/>
      <c r="L615" s="29"/>
    </row>
    <row r="616" ht="15.75" customHeight="1">
      <c r="C616" s="29"/>
      <c r="D616" s="30"/>
      <c r="F616" s="30"/>
      <c r="I616" s="29"/>
      <c r="J616" s="29"/>
      <c r="L616" s="29"/>
    </row>
    <row r="617" ht="15.75" customHeight="1">
      <c r="C617" s="29"/>
      <c r="D617" s="30"/>
      <c r="F617" s="30"/>
      <c r="I617" s="29"/>
      <c r="J617" s="29"/>
      <c r="L617" s="29"/>
    </row>
    <row r="618" ht="15.75" customHeight="1">
      <c r="C618" s="29"/>
      <c r="D618" s="30"/>
      <c r="F618" s="30"/>
      <c r="I618" s="29"/>
      <c r="J618" s="29"/>
      <c r="L618" s="29"/>
    </row>
    <row r="619" ht="15.75" customHeight="1">
      <c r="C619" s="29"/>
      <c r="D619" s="30"/>
      <c r="F619" s="30"/>
      <c r="I619" s="29"/>
      <c r="J619" s="29"/>
      <c r="L619" s="29"/>
    </row>
    <row r="620" ht="15.75" customHeight="1">
      <c r="C620" s="29"/>
      <c r="D620" s="30"/>
      <c r="F620" s="30"/>
      <c r="I620" s="29"/>
      <c r="J620" s="29"/>
      <c r="L620" s="29"/>
    </row>
    <row r="621" ht="15.75" customHeight="1">
      <c r="C621" s="29"/>
      <c r="D621" s="30"/>
      <c r="F621" s="30"/>
      <c r="I621" s="29"/>
      <c r="J621" s="29"/>
      <c r="L621" s="29"/>
    </row>
    <row r="622" ht="15.75" customHeight="1">
      <c r="C622" s="29"/>
      <c r="D622" s="30"/>
      <c r="F622" s="30"/>
      <c r="I622" s="29"/>
      <c r="J622" s="29"/>
      <c r="L622" s="29"/>
    </row>
    <row r="623" ht="15.75" customHeight="1">
      <c r="C623" s="29"/>
      <c r="D623" s="30"/>
      <c r="F623" s="30"/>
      <c r="I623" s="29"/>
      <c r="J623" s="29"/>
      <c r="L623" s="29"/>
    </row>
    <row r="624" ht="15.75" customHeight="1">
      <c r="C624" s="29"/>
      <c r="D624" s="30"/>
      <c r="F624" s="30"/>
      <c r="I624" s="29"/>
      <c r="J624" s="29"/>
      <c r="L624" s="29"/>
    </row>
    <row r="625" ht="15.75" customHeight="1">
      <c r="C625" s="29"/>
      <c r="D625" s="30"/>
      <c r="F625" s="30"/>
      <c r="I625" s="29"/>
      <c r="J625" s="29"/>
      <c r="L625" s="29"/>
    </row>
    <row r="626" ht="15.75" customHeight="1">
      <c r="C626" s="29"/>
      <c r="D626" s="30"/>
      <c r="F626" s="30"/>
      <c r="I626" s="29"/>
      <c r="J626" s="29"/>
      <c r="L626" s="29"/>
    </row>
    <row r="627" ht="15.75" customHeight="1">
      <c r="C627" s="29"/>
      <c r="D627" s="30"/>
      <c r="F627" s="30"/>
      <c r="I627" s="29"/>
      <c r="J627" s="29"/>
      <c r="L627" s="29"/>
    </row>
    <row r="628" ht="15.75" customHeight="1">
      <c r="C628" s="29"/>
      <c r="D628" s="30"/>
      <c r="F628" s="30"/>
      <c r="I628" s="29"/>
      <c r="J628" s="29"/>
      <c r="L628" s="29"/>
    </row>
    <row r="629" ht="15.75" customHeight="1">
      <c r="C629" s="29"/>
      <c r="D629" s="30"/>
      <c r="F629" s="30"/>
      <c r="I629" s="29"/>
      <c r="J629" s="29"/>
      <c r="L629" s="29"/>
    </row>
    <row r="630" ht="15.75" customHeight="1">
      <c r="C630" s="29"/>
      <c r="D630" s="30"/>
      <c r="F630" s="30"/>
      <c r="I630" s="29"/>
      <c r="J630" s="29"/>
      <c r="L630" s="29"/>
    </row>
    <row r="631" ht="15.75" customHeight="1">
      <c r="C631" s="29"/>
      <c r="D631" s="30"/>
      <c r="F631" s="30"/>
      <c r="I631" s="29"/>
      <c r="J631" s="29"/>
      <c r="L631" s="29"/>
    </row>
    <row r="632" ht="15.75" customHeight="1">
      <c r="C632" s="29"/>
      <c r="D632" s="30"/>
      <c r="F632" s="30"/>
      <c r="I632" s="29"/>
      <c r="J632" s="29"/>
      <c r="L632" s="29"/>
    </row>
    <row r="633" ht="15.75" customHeight="1">
      <c r="C633" s="29"/>
      <c r="D633" s="30"/>
      <c r="F633" s="30"/>
      <c r="I633" s="29"/>
      <c r="J633" s="29"/>
      <c r="L633" s="29"/>
    </row>
    <row r="634" ht="15.75" customHeight="1">
      <c r="C634" s="29"/>
      <c r="D634" s="30"/>
      <c r="F634" s="30"/>
      <c r="I634" s="29"/>
      <c r="J634" s="29"/>
      <c r="L634" s="29"/>
    </row>
    <row r="635" ht="15.75" customHeight="1">
      <c r="C635" s="29"/>
      <c r="D635" s="30"/>
      <c r="F635" s="30"/>
      <c r="I635" s="29"/>
      <c r="J635" s="29"/>
      <c r="L635" s="29"/>
    </row>
    <row r="636" ht="15.75" customHeight="1">
      <c r="C636" s="29"/>
      <c r="D636" s="30"/>
      <c r="F636" s="30"/>
      <c r="I636" s="29"/>
      <c r="J636" s="29"/>
      <c r="L636" s="29"/>
    </row>
    <row r="637" ht="15.75" customHeight="1">
      <c r="C637" s="29"/>
      <c r="D637" s="30"/>
      <c r="F637" s="30"/>
      <c r="I637" s="29"/>
      <c r="J637" s="29"/>
      <c r="L637" s="29"/>
    </row>
    <row r="638" ht="15.75" customHeight="1">
      <c r="C638" s="29"/>
      <c r="D638" s="30"/>
      <c r="F638" s="30"/>
      <c r="I638" s="29"/>
      <c r="J638" s="29"/>
      <c r="L638" s="29"/>
    </row>
    <row r="639" ht="15.75" customHeight="1">
      <c r="C639" s="29"/>
      <c r="D639" s="30"/>
      <c r="F639" s="30"/>
      <c r="I639" s="29"/>
      <c r="J639" s="29"/>
      <c r="L639" s="29"/>
    </row>
    <row r="640" ht="15.75" customHeight="1">
      <c r="C640" s="29"/>
      <c r="D640" s="30"/>
      <c r="F640" s="30"/>
      <c r="I640" s="29"/>
      <c r="J640" s="29"/>
      <c r="L640" s="29"/>
    </row>
    <row r="641" ht="15.75" customHeight="1">
      <c r="C641" s="29"/>
      <c r="D641" s="30"/>
      <c r="F641" s="30"/>
      <c r="I641" s="29"/>
      <c r="J641" s="29"/>
      <c r="L641" s="29"/>
    </row>
    <row r="642" ht="15.75" customHeight="1">
      <c r="C642" s="29"/>
      <c r="D642" s="30"/>
      <c r="F642" s="30"/>
      <c r="I642" s="29"/>
      <c r="J642" s="29"/>
      <c r="L642" s="29"/>
    </row>
    <row r="643" ht="15.75" customHeight="1">
      <c r="C643" s="29"/>
      <c r="D643" s="30"/>
      <c r="F643" s="30"/>
      <c r="I643" s="29"/>
      <c r="J643" s="29"/>
      <c r="L643" s="29"/>
    </row>
    <row r="644" ht="15.75" customHeight="1">
      <c r="C644" s="29"/>
      <c r="D644" s="30"/>
      <c r="F644" s="30"/>
      <c r="I644" s="29"/>
      <c r="J644" s="29"/>
      <c r="L644" s="29"/>
    </row>
    <row r="645" ht="15.75" customHeight="1">
      <c r="C645" s="29"/>
      <c r="D645" s="30"/>
      <c r="F645" s="30"/>
      <c r="I645" s="29"/>
      <c r="J645" s="29"/>
      <c r="L645" s="29"/>
    </row>
    <row r="646" ht="15.75" customHeight="1">
      <c r="C646" s="29"/>
      <c r="D646" s="30"/>
      <c r="F646" s="30"/>
      <c r="I646" s="29"/>
      <c r="J646" s="29"/>
      <c r="L646" s="29"/>
    </row>
    <row r="647" ht="15.75" customHeight="1">
      <c r="C647" s="29"/>
      <c r="D647" s="30"/>
      <c r="F647" s="30"/>
      <c r="I647" s="29"/>
      <c r="J647" s="29"/>
      <c r="L647" s="29"/>
    </row>
    <row r="648" ht="15.75" customHeight="1">
      <c r="C648" s="29"/>
      <c r="D648" s="30"/>
      <c r="F648" s="30"/>
      <c r="I648" s="29"/>
      <c r="J648" s="29"/>
      <c r="L648" s="29"/>
    </row>
    <row r="649" ht="15.75" customHeight="1">
      <c r="C649" s="29"/>
      <c r="D649" s="30"/>
      <c r="F649" s="30"/>
      <c r="I649" s="29"/>
      <c r="J649" s="29"/>
      <c r="L649" s="29"/>
    </row>
    <row r="650" ht="15.75" customHeight="1">
      <c r="C650" s="29"/>
      <c r="D650" s="30"/>
      <c r="F650" s="30"/>
      <c r="I650" s="29"/>
      <c r="J650" s="29"/>
      <c r="L650" s="29"/>
    </row>
    <row r="651" ht="15.75" customHeight="1">
      <c r="C651" s="29"/>
      <c r="D651" s="30"/>
      <c r="F651" s="30"/>
      <c r="I651" s="29"/>
      <c r="J651" s="29"/>
      <c r="L651" s="29"/>
    </row>
    <row r="652" ht="15.75" customHeight="1">
      <c r="C652" s="29"/>
      <c r="D652" s="30"/>
      <c r="F652" s="30"/>
      <c r="I652" s="29"/>
      <c r="J652" s="29"/>
      <c r="L652" s="29"/>
    </row>
    <row r="653" ht="15.75" customHeight="1">
      <c r="C653" s="29"/>
      <c r="D653" s="30"/>
      <c r="F653" s="30"/>
      <c r="I653" s="29"/>
      <c r="J653" s="29"/>
      <c r="L653" s="29"/>
    </row>
    <row r="654" ht="15.75" customHeight="1">
      <c r="C654" s="29"/>
      <c r="D654" s="30"/>
      <c r="F654" s="30"/>
      <c r="I654" s="29"/>
      <c r="J654" s="29"/>
      <c r="L654" s="29"/>
    </row>
    <row r="655" ht="15.75" customHeight="1">
      <c r="C655" s="29"/>
      <c r="D655" s="30"/>
      <c r="F655" s="30"/>
      <c r="I655" s="29"/>
      <c r="J655" s="29"/>
      <c r="L655" s="29"/>
    </row>
    <row r="656" ht="15.75" customHeight="1">
      <c r="C656" s="29"/>
      <c r="D656" s="30"/>
      <c r="F656" s="30"/>
      <c r="I656" s="29"/>
      <c r="J656" s="29"/>
      <c r="L656" s="29"/>
    </row>
    <row r="657" ht="15.75" customHeight="1">
      <c r="C657" s="29"/>
      <c r="D657" s="30"/>
      <c r="F657" s="30"/>
      <c r="I657" s="29"/>
      <c r="J657" s="29"/>
      <c r="L657" s="29"/>
    </row>
    <row r="658" ht="15.75" customHeight="1">
      <c r="C658" s="29"/>
      <c r="D658" s="30"/>
      <c r="F658" s="30"/>
      <c r="I658" s="29"/>
      <c r="J658" s="29"/>
      <c r="L658" s="29"/>
    </row>
    <row r="659" ht="15.75" customHeight="1">
      <c r="C659" s="29"/>
      <c r="D659" s="30"/>
      <c r="F659" s="30"/>
      <c r="I659" s="29"/>
      <c r="J659" s="29"/>
      <c r="L659" s="29"/>
    </row>
    <row r="660" ht="15.75" customHeight="1">
      <c r="C660" s="29"/>
      <c r="D660" s="30"/>
      <c r="F660" s="30"/>
      <c r="I660" s="29"/>
      <c r="J660" s="29"/>
      <c r="L660" s="29"/>
    </row>
    <row r="661" ht="15.75" customHeight="1">
      <c r="C661" s="29"/>
      <c r="D661" s="30"/>
      <c r="F661" s="30"/>
      <c r="I661" s="29"/>
      <c r="J661" s="29"/>
      <c r="L661" s="29"/>
    </row>
    <row r="662" ht="15.75" customHeight="1">
      <c r="C662" s="29"/>
      <c r="D662" s="30"/>
      <c r="F662" s="30"/>
      <c r="I662" s="29"/>
      <c r="J662" s="29"/>
      <c r="L662" s="29"/>
    </row>
    <row r="663" ht="15.75" customHeight="1">
      <c r="C663" s="29"/>
      <c r="D663" s="30"/>
      <c r="F663" s="30"/>
      <c r="I663" s="29"/>
      <c r="J663" s="29"/>
      <c r="L663" s="29"/>
    </row>
    <row r="664" ht="15.75" customHeight="1">
      <c r="C664" s="29"/>
      <c r="D664" s="30"/>
      <c r="F664" s="30"/>
      <c r="I664" s="29"/>
      <c r="J664" s="29"/>
      <c r="L664" s="29"/>
    </row>
    <row r="665" ht="15.75" customHeight="1">
      <c r="C665" s="29"/>
      <c r="D665" s="30"/>
      <c r="F665" s="30"/>
      <c r="I665" s="29"/>
      <c r="J665" s="29"/>
      <c r="L665" s="29"/>
    </row>
    <row r="666" ht="15.75" customHeight="1">
      <c r="C666" s="29"/>
      <c r="D666" s="30"/>
      <c r="F666" s="30"/>
      <c r="I666" s="29"/>
      <c r="J666" s="29"/>
      <c r="L666" s="29"/>
    </row>
    <row r="667" ht="15.75" customHeight="1">
      <c r="C667" s="29"/>
      <c r="D667" s="30"/>
      <c r="F667" s="30"/>
      <c r="I667" s="29"/>
      <c r="J667" s="29"/>
      <c r="L667" s="29"/>
    </row>
    <row r="668" ht="15.75" customHeight="1">
      <c r="C668" s="29"/>
      <c r="D668" s="30"/>
      <c r="F668" s="30"/>
      <c r="I668" s="29"/>
      <c r="J668" s="29"/>
      <c r="L668" s="29"/>
    </row>
    <row r="669" ht="15.75" customHeight="1">
      <c r="C669" s="29"/>
      <c r="D669" s="30"/>
      <c r="F669" s="30"/>
      <c r="I669" s="29"/>
      <c r="J669" s="29"/>
      <c r="L669" s="29"/>
    </row>
    <row r="670" ht="15.75" customHeight="1">
      <c r="C670" s="29"/>
      <c r="D670" s="30"/>
      <c r="F670" s="30"/>
      <c r="I670" s="29"/>
      <c r="J670" s="29"/>
      <c r="L670" s="29"/>
    </row>
    <row r="671" ht="15.75" customHeight="1">
      <c r="C671" s="29"/>
      <c r="D671" s="30"/>
      <c r="F671" s="30"/>
      <c r="I671" s="29"/>
      <c r="J671" s="29"/>
      <c r="L671" s="29"/>
    </row>
    <row r="672" ht="15.75" customHeight="1">
      <c r="C672" s="29"/>
      <c r="D672" s="30"/>
      <c r="F672" s="30"/>
      <c r="I672" s="29"/>
      <c r="J672" s="29"/>
      <c r="L672" s="29"/>
    </row>
    <row r="673" ht="15.75" customHeight="1">
      <c r="C673" s="29"/>
      <c r="D673" s="30"/>
      <c r="F673" s="30"/>
      <c r="I673" s="29"/>
      <c r="J673" s="29"/>
      <c r="L673" s="29"/>
    </row>
    <row r="674" ht="15.75" customHeight="1">
      <c r="C674" s="29"/>
      <c r="D674" s="30"/>
      <c r="F674" s="30"/>
      <c r="I674" s="29"/>
      <c r="J674" s="29"/>
      <c r="L674" s="29"/>
    </row>
    <row r="675" ht="15.75" customHeight="1">
      <c r="C675" s="29"/>
      <c r="D675" s="30"/>
      <c r="F675" s="30"/>
      <c r="I675" s="29"/>
      <c r="J675" s="29"/>
      <c r="L675" s="29"/>
    </row>
    <row r="676" ht="15.75" customHeight="1">
      <c r="C676" s="29"/>
      <c r="D676" s="30"/>
      <c r="F676" s="30"/>
      <c r="I676" s="29"/>
      <c r="J676" s="29"/>
      <c r="L676" s="29"/>
    </row>
    <row r="677" ht="15.75" customHeight="1">
      <c r="C677" s="29"/>
      <c r="D677" s="30"/>
      <c r="F677" s="30"/>
      <c r="I677" s="29"/>
      <c r="J677" s="29"/>
      <c r="L677" s="29"/>
    </row>
    <row r="678" ht="15.75" customHeight="1">
      <c r="C678" s="29"/>
      <c r="D678" s="30"/>
      <c r="F678" s="30"/>
      <c r="I678" s="29"/>
      <c r="J678" s="29"/>
      <c r="L678" s="29"/>
    </row>
    <row r="679" ht="15.75" customHeight="1">
      <c r="C679" s="29"/>
      <c r="D679" s="30"/>
      <c r="F679" s="30"/>
      <c r="I679" s="29"/>
      <c r="J679" s="29"/>
      <c r="L679" s="29"/>
    </row>
    <row r="680" ht="15.75" customHeight="1">
      <c r="C680" s="29"/>
      <c r="D680" s="30"/>
      <c r="F680" s="30"/>
      <c r="I680" s="29"/>
      <c r="J680" s="29"/>
      <c r="L680" s="29"/>
    </row>
    <row r="681" ht="15.75" customHeight="1">
      <c r="C681" s="29"/>
      <c r="D681" s="30"/>
      <c r="F681" s="30"/>
      <c r="I681" s="29"/>
      <c r="J681" s="29"/>
      <c r="L681" s="29"/>
    </row>
    <row r="682" ht="15.75" customHeight="1">
      <c r="C682" s="29"/>
      <c r="D682" s="30"/>
      <c r="F682" s="30"/>
      <c r="I682" s="29"/>
      <c r="J682" s="29"/>
      <c r="L682" s="29"/>
    </row>
    <row r="683" ht="15.75" customHeight="1">
      <c r="C683" s="29"/>
      <c r="D683" s="30"/>
      <c r="F683" s="30"/>
      <c r="I683" s="29"/>
      <c r="J683" s="29"/>
      <c r="L683" s="29"/>
    </row>
    <row r="684" ht="15.75" customHeight="1">
      <c r="C684" s="29"/>
      <c r="D684" s="30"/>
      <c r="F684" s="30"/>
      <c r="I684" s="29"/>
      <c r="J684" s="29"/>
      <c r="L684" s="29"/>
    </row>
    <row r="685" ht="15.75" customHeight="1">
      <c r="C685" s="29"/>
      <c r="D685" s="30"/>
      <c r="F685" s="30"/>
      <c r="I685" s="29"/>
      <c r="J685" s="29"/>
      <c r="L685" s="29"/>
    </row>
    <row r="686" ht="15.75" customHeight="1">
      <c r="C686" s="29"/>
      <c r="D686" s="30"/>
      <c r="F686" s="30"/>
      <c r="I686" s="29"/>
      <c r="J686" s="29"/>
      <c r="L686" s="29"/>
    </row>
    <row r="687" ht="15.75" customHeight="1">
      <c r="C687" s="29"/>
      <c r="D687" s="30"/>
      <c r="F687" s="30"/>
      <c r="I687" s="29"/>
      <c r="J687" s="29"/>
      <c r="L687" s="29"/>
    </row>
    <row r="688" ht="15.75" customHeight="1">
      <c r="C688" s="29"/>
      <c r="D688" s="30"/>
      <c r="F688" s="30"/>
      <c r="I688" s="29"/>
      <c r="J688" s="29"/>
      <c r="L688" s="29"/>
    </row>
    <row r="689" ht="15.75" customHeight="1">
      <c r="C689" s="29"/>
      <c r="D689" s="30"/>
      <c r="F689" s="30"/>
      <c r="I689" s="29"/>
      <c r="J689" s="29"/>
      <c r="L689" s="29"/>
    </row>
    <row r="690" ht="15.75" customHeight="1">
      <c r="C690" s="29"/>
      <c r="D690" s="30"/>
      <c r="F690" s="30"/>
      <c r="I690" s="29"/>
      <c r="J690" s="29"/>
      <c r="L690" s="29"/>
    </row>
    <row r="691" ht="15.75" customHeight="1">
      <c r="C691" s="29"/>
      <c r="D691" s="30"/>
      <c r="F691" s="30"/>
      <c r="I691" s="29"/>
      <c r="J691" s="29"/>
      <c r="L691" s="29"/>
    </row>
    <row r="692" ht="15.75" customHeight="1">
      <c r="C692" s="29"/>
      <c r="D692" s="30"/>
      <c r="F692" s="30"/>
      <c r="I692" s="29"/>
      <c r="J692" s="29"/>
      <c r="L692" s="29"/>
    </row>
    <row r="693" ht="15.75" customHeight="1">
      <c r="C693" s="29"/>
      <c r="D693" s="30"/>
      <c r="F693" s="30"/>
      <c r="I693" s="29"/>
      <c r="J693" s="29"/>
      <c r="L693" s="29"/>
    </row>
    <row r="694" ht="15.75" customHeight="1">
      <c r="C694" s="29"/>
      <c r="D694" s="30"/>
      <c r="F694" s="30"/>
      <c r="I694" s="29"/>
      <c r="J694" s="29"/>
      <c r="L694" s="29"/>
    </row>
    <row r="695" ht="15.75" customHeight="1">
      <c r="C695" s="29"/>
      <c r="D695" s="30"/>
      <c r="F695" s="30"/>
      <c r="I695" s="29"/>
      <c r="J695" s="29"/>
      <c r="L695" s="29"/>
    </row>
    <row r="696" ht="15.75" customHeight="1">
      <c r="C696" s="29"/>
      <c r="D696" s="30"/>
      <c r="F696" s="30"/>
      <c r="I696" s="29"/>
      <c r="J696" s="29"/>
      <c r="L696" s="29"/>
    </row>
    <row r="697" ht="15.75" customHeight="1">
      <c r="C697" s="29"/>
      <c r="D697" s="30"/>
      <c r="F697" s="30"/>
      <c r="I697" s="29"/>
      <c r="J697" s="29"/>
      <c r="L697" s="29"/>
    </row>
    <row r="698" ht="15.75" customHeight="1">
      <c r="C698" s="29"/>
      <c r="D698" s="30"/>
      <c r="F698" s="30"/>
      <c r="I698" s="29"/>
      <c r="J698" s="29"/>
      <c r="L698" s="29"/>
    </row>
    <row r="699" ht="15.75" customHeight="1">
      <c r="C699" s="29"/>
      <c r="D699" s="30"/>
      <c r="F699" s="30"/>
      <c r="I699" s="29"/>
      <c r="J699" s="29"/>
      <c r="L699" s="29"/>
    </row>
    <row r="700" ht="15.75" customHeight="1">
      <c r="C700" s="29"/>
      <c r="D700" s="30"/>
      <c r="F700" s="30"/>
      <c r="I700" s="29"/>
      <c r="J700" s="29"/>
      <c r="L700" s="29"/>
    </row>
    <row r="701" ht="15.75" customHeight="1">
      <c r="C701" s="29"/>
      <c r="D701" s="30"/>
      <c r="F701" s="30"/>
      <c r="I701" s="29"/>
      <c r="J701" s="29"/>
      <c r="L701" s="29"/>
    </row>
    <row r="702" ht="15.75" customHeight="1">
      <c r="C702" s="29"/>
      <c r="D702" s="30"/>
      <c r="F702" s="30"/>
      <c r="I702" s="29"/>
      <c r="J702" s="29"/>
      <c r="L702" s="29"/>
    </row>
    <row r="703" ht="15.75" customHeight="1">
      <c r="C703" s="29"/>
      <c r="D703" s="30"/>
      <c r="F703" s="30"/>
      <c r="I703" s="29"/>
      <c r="J703" s="29"/>
      <c r="L703" s="29"/>
    </row>
    <row r="704" ht="15.75" customHeight="1">
      <c r="C704" s="29"/>
      <c r="D704" s="30"/>
      <c r="F704" s="30"/>
      <c r="I704" s="29"/>
      <c r="J704" s="29"/>
      <c r="L704" s="29"/>
    </row>
    <row r="705" ht="15.75" customHeight="1">
      <c r="C705" s="29"/>
      <c r="D705" s="30"/>
      <c r="F705" s="30"/>
      <c r="I705" s="29"/>
      <c r="J705" s="29"/>
      <c r="L705" s="29"/>
    </row>
    <row r="706" ht="15.75" customHeight="1">
      <c r="C706" s="29"/>
      <c r="D706" s="30"/>
      <c r="F706" s="30"/>
      <c r="I706" s="29"/>
      <c r="J706" s="29"/>
      <c r="L706" s="29"/>
    </row>
    <row r="707" ht="15.75" customHeight="1">
      <c r="C707" s="29"/>
      <c r="D707" s="30"/>
      <c r="F707" s="30"/>
      <c r="I707" s="29"/>
      <c r="J707" s="29"/>
      <c r="L707" s="29"/>
    </row>
    <row r="708" ht="15.75" customHeight="1">
      <c r="C708" s="29"/>
      <c r="D708" s="30"/>
      <c r="F708" s="30"/>
      <c r="I708" s="29"/>
      <c r="J708" s="29"/>
      <c r="L708" s="29"/>
    </row>
    <row r="709" ht="15.75" customHeight="1">
      <c r="C709" s="29"/>
      <c r="D709" s="30"/>
      <c r="F709" s="30"/>
      <c r="I709" s="29"/>
      <c r="J709" s="29"/>
      <c r="L709" s="29"/>
    </row>
    <row r="710" ht="15.75" customHeight="1">
      <c r="C710" s="29"/>
      <c r="D710" s="30"/>
      <c r="F710" s="30"/>
      <c r="I710" s="29"/>
      <c r="J710" s="29"/>
      <c r="L710" s="29"/>
    </row>
    <row r="711" ht="15.75" customHeight="1">
      <c r="C711" s="29"/>
      <c r="D711" s="30"/>
      <c r="F711" s="30"/>
      <c r="I711" s="29"/>
      <c r="J711" s="29"/>
      <c r="L711" s="29"/>
    </row>
    <row r="712" ht="15.75" customHeight="1">
      <c r="C712" s="29"/>
      <c r="D712" s="30"/>
      <c r="F712" s="30"/>
      <c r="I712" s="29"/>
      <c r="J712" s="29"/>
      <c r="L712" s="29"/>
    </row>
    <row r="713" ht="15.75" customHeight="1">
      <c r="C713" s="29"/>
      <c r="D713" s="30"/>
      <c r="F713" s="30"/>
      <c r="I713" s="29"/>
      <c r="J713" s="29"/>
      <c r="L713" s="29"/>
    </row>
    <row r="714" ht="15.75" customHeight="1">
      <c r="C714" s="29"/>
      <c r="D714" s="30"/>
      <c r="F714" s="30"/>
      <c r="I714" s="29"/>
      <c r="J714" s="29"/>
      <c r="L714" s="29"/>
    </row>
    <row r="715" ht="15.75" customHeight="1">
      <c r="C715" s="29"/>
      <c r="D715" s="30"/>
      <c r="F715" s="30"/>
      <c r="I715" s="29"/>
      <c r="J715" s="29"/>
      <c r="L715" s="29"/>
    </row>
    <row r="716" ht="15.75" customHeight="1">
      <c r="C716" s="29"/>
      <c r="D716" s="30"/>
      <c r="F716" s="30"/>
      <c r="I716" s="29"/>
      <c r="J716" s="29"/>
      <c r="L716" s="29"/>
    </row>
    <row r="717" ht="15.75" customHeight="1">
      <c r="C717" s="29"/>
      <c r="D717" s="30"/>
      <c r="F717" s="30"/>
      <c r="I717" s="29"/>
      <c r="J717" s="29"/>
      <c r="L717" s="29"/>
    </row>
    <row r="718" ht="15.75" customHeight="1">
      <c r="C718" s="29"/>
      <c r="D718" s="30"/>
      <c r="F718" s="30"/>
      <c r="I718" s="29"/>
      <c r="J718" s="29"/>
      <c r="L718" s="29"/>
    </row>
    <row r="719" ht="15.75" customHeight="1">
      <c r="C719" s="29"/>
      <c r="D719" s="30"/>
      <c r="F719" s="30"/>
      <c r="I719" s="29"/>
      <c r="J719" s="29"/>
      <c r="L719" s="29"/>
    </row>
    <row r="720" ht="15.75" customHeight="1">
      <c r="C720" s="29"/>
      <c r="D720" s="30"/>
      <c r="F720" s="30"/>
      <c r="I720" s="29"/>
      <c r="J720" s="29"/>
      <c r="L720" s="29"/>
    </row>
    <row r="721" ht="15.75" customHeight="1">
      <c r="C721" s="29"/>
      <c r="D721" s="30"/>
      <c r="F721" s="30"/>
      <c r="I721" s="29"/>
      <c r="J721" s="29"/>
      <c r="L721" s="29"/>
    </row>
    <row r="722" ht="15.75" customHeight="1">
      <c r="C722" s="29"/>
      <c r="D722" s="30"/>
      <c r="F722" s="30"/>
      <c r="I722" s="29"/>
      <c r="J722" s="29"/>
      <c r="L722" s="29"/>
    </row>
    <row r="723" ht="15.75" customHeight="1">
      <c r="C723" s="29"/>
      <c r="D723" s="30"/>
      <c r="F723" s="30"/>
      <c r="I723" s="29"/>
      <c r="J723" s="29"/>
      <c r="L723" s="29"/>
    </row>
    <row r="724" ht="15.75" customHeight="1">
      <c r="C724" s="29"/>
      <c r="D724" s="30"/>
      <c r="F724" s="30"/>
      <c r="I724" s="29"/>
      <c r="J724" s="29"/>
      <c r="L724" s="29"/>
    </row>
    <row r="725" ht="15.75" customHeight="1">
      <c r="C725" s="29"/>
      <c r="D725" s="30"/>
      <c r="F725" s="30"/>
      <c r="I725" s="29"/>
      <c r="J725" s="29"/>
      <c r="L725" s="29"/>
    </row>
    <row r="726" ht="15.75" customHeight="1">
      <c r="C726" s="29"/>
      <c r="D726" s="30"/>
      <c r="F726" s="30"/>
      <c r="I726" s="29"/>
      <c r="J726" s="29"/>
      <c r="L726" s="29"/>
    </row>
    <row r="727" ht="15.75" customHeight="1">
      <c r="C727" s="29"/>
      <c r="D727" s="30"/>
      <c r="F727" s="30"/>
      <c r="I727" s="29"/>
      <c r="J727" s="29"/>
      <c r="L727" s="29"/>
    </row>
    <row r="728" ht="15.75" customHeight="1">
      <c r="C728" s="29"/>
      <c r="D728" s="30"/>
      <c r="F728" s="30"/>
      <c r="I728" s="29"/>
      <c r="J728" s="29"/>
      <c r="L728" s="29"/>
    </row>
    <row r="729" ht="15.75" customHeight="1">
      <c r="C729" s="29"/>
      <c r="D729" s="30"/>
      <c r="F729" s="30"/>
      <c r="I729" s="29"/>
      <c r="J729" s="29"/>
      <c r="L729" s="29"/>
    </row>
    <row r="730" ht="15.75" customHeight="1">
      <c r="C730" s="29"/>
      <c r="D730" s="30"/>
      <c r="F730" s="30"/>
      <c r="I730" s="29"/>
      <c r="J730" s="29"/>
      <c r="L730" s="29"/>
    </row>
    <row r="731" ht="15.75" customHeight="1">
      <c r="C731" s="29"/>
      <c r="D731" s="30"/>
      <c r="F731" s="30"/>
      <c r="I731" s="29"/>
      <c r="J731" s="29"/>
      <c r="L731" s="29"/>
    </row>
    <row r="732" ht="15.75" customHeight="1">
      <c r="C732" s="29"/>
      <c r="D732" s="30"/>
      <c r="F732" s="30"/>
      <c r="I732" s="29"/>
      <c r="J732" s="29"/>
      <c r="L732" s="29"/>
    </row>
    <row r="733" ht="15.75" customHeight="1">
      <c r="C733" s="29"/>
      <c r="D733" s="30"/>
      <c r="F733" s="30"/>
      <c r="I733" s="29"/>
      <c r="J733" s="29"/>
      <c r="L733" s="29"/>
    </row>
    <row r="734" ht="15.75" customHeight="1">
      <c r="C734" s="29"/>
      <c r="D734" s="30"/>
      <c r="F734" s="30"/>
      <c r="I734" s="29"/>
      <c r="J734" s="29"/>
      <c r="L734" s="29"/>
    </row>
    <row r="735" ht="15.75" customHeight="1">
      <c r="C735" s="29"/>
      <c r="D735" s="30"/>
      <c r="F735" s="30"/>
      <c r="I735" s="29"/>
      <c r="J735" s="29"/>
      <c r="L735" s="29"/>
    </row>
    <row r="736" ht="15.75" customHeight="1">
      <c r="C736" s="29"/>
      <c r="D736" s="30"/>
      <c r="F736" s="30"/>
      <c r="I736" s="29"/>
      <c r="J736" s="29"/>
      <c r="L736" s="29"/>
    </row>
    <row r="737" ht="15.75" customHeight="1">
      <c r="C737" s="29"/>
      <c r="D737" s="30"/>
      <c r="F737" s="30"/>
      <c r="I737" s="29"/>
      <c r="J737" s="29"/>
      <c r="L737" s="29"/>
    </row>
    <row r="738" ht="15.75" customHeight="1">
      <c r="C738" s="29"/>
      <c r="D738" s="30"/>
      <c r="F738" s="30"/>
      <c r="I738" s="29"/>
      <c r="J738" s="29"/>
      <c r="L738" s="29"/>
    </row>
    <row r="739" ht="15.75" customHeight="1">
      <c r="C739" s="29"/>
      <c r="D739" s="30"/>
      <c r="F739" s="30"/>
      <c r="I739" s="29"/>
      <c r="J739" s="29"/>
      <c r="L739" s="29"/>
    </row>
    <row r="740" ht="15.75" customHeight="1">
      <c r="C740" s="29"/>
      <c r="D740" s="30"/>
      <c r="F740" s="30"/>
      <c r="I740" s="29"/>
      <c r="J740" s="29"/>
      <c r="L740" s="29"/>
    </row>
    <row r="741" ht="15.75" customHeight="1">
      <c r="C741" s="29"/>
      <c r="D741" s="30"/>
      <c r="F741" s="30"/>
      <c r="I741" s="29"/>
      <c r="J741" s="29"/>
      <c r="L741" s="29"/>
    </row>
    <row r="742" ht="15.75" customHeight="1">
      <c r="C742" s="29"/>
      <c r="D742" s="30"/>
      <c r="F742" s="30"/>
      <c r="I742" s="29"/>
      <c r="J742" s="29"/>
      <c r="L742" s="29"/>
    </row>
    <row r="743" ht="15.75" customHeight="1">
      <c r="C743" s="29"/>
      <c r="D743" s="30"/>
      <c r="F743" s="30"/>
      <c r="I743" s="29"/>
      <c r="J743" s="29"/>
      <c r="L743" s="29"/>
    </row>
    <row r="744" ht="15.75" customHeight="1">
      <c r="C744" s="29"/>
      <c r="D744" s="30"/>
      <c r="F744" s="30"/>
      <c r="I744" s="29"/>
      <c r="J744" s="29"/>
      <c r="L744" s="29"/>
    </row>
    <row r="745" ht="15.75" customHeight="1">
      <c r="C745" s="29"/>
      <c r="D745" s="30"/>
      <c r="F745" s="30"/>
      <c r="I745" s="29"/>
      <c r="J745" s="29"/>
      <c r="L745" s="29"/>
    </row>
    <row r="746" ht="15.75" customHeight="1">
      <c r="C746" s="29"/>
      <c r="D746" s="30"/>
      <c r="F746" s="30"/>
      <c r="I746" s="29"/>
      <c r="J746" s="29"/>
      <c r="L746" s="29"/>
    </row>
    <row r="747" ht="15.75" customHeight="1">
      <c r="C747" s="29"/>
      <c r="D747" s="30"/>
      <c r="F747" s="30"/>
      <c r="I747" s="29"/>
      <c r="J747" s="29"/>
      <c r="L747" s="29"/>
    </row>
    <row r="748" ht="15.75" customHeight="1">
      <c r="C748" s="29"/>
      <c r="D748" s="30"/>
      <c r="F748" s="30"/>
      <c r="I748" s="29"/>
      <c r="J748" s="29"/>
      <c r="L748" s="29"/>
    </row>
    <row r="749" ht="15.75" customHeight="1">
      <c r="C749" s="29"/>
      <c r="D749" s="30"/>
      <c r="F749" s="30"/>
      <c r="I749" s="29"/>
      <c r="J749" s="29"/>
      <c r="L749" s="29"/>
    </row>
    <row r="750" ht="15.75" customHeight="1">
      <c r="C750" s="29"/>
      <c r="D750" s="30"/>
      <c r="F750" s="30"/>
      <c r="I750" s="29"/>
      <c r="J750" s="29"/>
      <c r="L750" s="29"/>
    </row>
    <row r="751" ht="15.75" customHeight="1">
      <c r="C751" s="29"/>
      <c r="D751" s="30"/>
      <c r="F751" s="30"/>
      <c r="I751" s="29"/>
      <c r="J751" s="29"/>
      <c r="L751" s="29"/>
    </row>
    <row r="752" ht="15.75" customHeight="1">
      <c r="C752" s="29"/>
      <c r="D752" s="30"/>
      <c r="F752" s="30"/>
      <c r="I752" s="29"/>
      <c r="J752" s="29"/>
      <c r="L752" s="29"/>
    </row>
    <row r="753" ht="15.75" customHeight="1">
      <c r="C753" s="29"/>
      <c r="D753" s="30"/>
      <c r="F753" s="30"/>
      <c r="I753" s="29"/>
      <c r="J753" s="29"/>
      <c r="L753" s="29"/>
    </row>
    <row r="754" ht="15.75" customHeight="1">
      <c r="C754" s="29"/>
      <c r="D754" s="30"/>
      <c r="F754" s="30"/>
      <c r="I754" s="29"/>
      <c r="J754" s="29"/>
      <c r="L754" s="29"/>
    </row>
    <row r="755" ht="15.75" customHeight="1">
      <c r="C755" s="29"/>
      <c r="D755" s="30"/>
      <c r="F755" s="30"/>
      <c r="I755" s="29"/>
      <c r="J755" s="29"/>
      <c r="L755" s="29"/>
    </row>
    <row r="756" ht="15.75" customHeight="1">
      <c r="C756" s="29"/>
      <c r="D756" s="30"/>
      <c r="F756" s="30"/>
      <c r="I756" s="29"/>
      <c r="J756" s="29"/>
      <c r="L756" s="29"/>
    </row>
    <row r="757" ht="15.75" customHeight="1">
      <c r="C757" s="29"/>
      <c r="D757" s="30"/>
      <c r="F757" s="30"/>
      <c r="I757" s="29"/>
      <c r="J757" s="29"/>
      <c r="L757" s="29"/>
    </row>
    <row r="758" ht="15.75" customHeight="1">
      <c r="C758" s="29"/>
      <c r="D758" s="30"/>
      <c r="F758" s="30"/>
      <c r="I758" s="29"/>
      <c r="J758" s="29"/>
      <c r="L758" s="29"/>
    </row>
    <row r="759" ht="15.75" customHeight="1">
      <c r="C759" s="29"/>
      <c r="D759" s="30"/>
      <c r="F759" s="30"/>
      <c r="I759" s="29"/>
      <c r="J759" s="29"/>
      <c r="L759" s="29"/>
    </row>
    <row r="760" ht="15.75" customHeight="1">
      <c r="C760" s="29"/>
      <c r="D760" s="30"/>
      <c r="F760" s="30"/>
      <c r="I760" s="29"/>
      <c r="J760" s="29"/>
      <c r="L760" s="29"/>
    </row>
    <row r="761" ht="15.75" customHeight="1">
      <c r="C761" s="29"/>
      <c r="D761" s="30"/>
      <c r="F761" s="30"/>
      <c r="I761" s="29"/>
      <c r="J761" s="29"/>
      <c r="L761" s="29"/>
    </row>
    <row r="762" ht="15.75" customHeight="1">
      <c r="C762" s="29"/>
      <c r="D762" s="30"/>
      <c r="F762" s="30"/>
      <c r="I762" s="29"/>
      <c r="J762" s="29"/>
      <c r="L762" s="29"/>
    </row>
    <row r="763" ht="15.75" customHeight="1">
      <c r="C763" s="29"/>
      <c r="D763" s="30"/>
      <c r="F763" s="30"/>
      <c r="I763" s="29"/>
      <c r="J763" s="29"/>
      <c r="L763" s="29"/>
    </row>
    <row r="764" ht="15.75" customHeight="1">
      <c r="C764" s="29"/>
      <c r="D764" s="30"/>
      <c r="F764" s="30"/>
      <c r="I764" s="29"/>
      <c r="J764" s="29"/>
      <c r="L764" s="29"/>
    </row>
    <row r="765" ht="15.75" customHeight="1">
      <c r="C765" s="29"/>
      <c r="D765" s="30"/>
      <c r="F765" s="30"/>
      <c r="I765" s="29"/>
      <c r="J765" s="29"/>
      <c r="L765" s="29"/>
    </row>
    <row r="766" ht="15.75" customHeight="1">
      <c r="C766" s="29"/>
      <c r="D766" s="30"/>
      <c r="F766" s="30"/>
      <c r="I766" s="29"/>
      <c r="J766" s="29"/>
      <c r="L766" s="29"/>
    </row>
    <row r="767" ht="15.75" customHeight="1">
      <c r="C767" s="29"/>
      <c r="D767" s="30"/>
      <c r="F767" s="30"/>
      <c r="I767" s="29"/>
      <c r="J767" s="29"/>
      <c r="L767" s="29"/>
    </row>
    <row r="768" ht="15.75" customHeight="1">
      <c r="C768" s="29"/>
      <c r="D768" s="30"/>
      <c r="F768" s="30"/>
      <c r="I768" s="29"/>
      <c r="J768" s="29"/>
      <c r="L768" s="29"/>
    </row>
    <row r="769" ht="15.75" customHeight="1">
      <c r="C769" s="29"/>
      <c r="D769" s="30"/>
      <c r="F769" s="30"/>
      <c r="I769" s="29"/>
      <c r="J769" s="29"/>
      <c r="L769" s="29"/>
    </row>
    <row r="770" ht="15.75" customHeight="1">
      <c r="C770" s="29"/>
      <c r="D770" s="30"/>
      <c r="F770" s="30"/>
      <c r="I770" s="29"/>
      <c r="J770" s="29"/>
      <c r="L770" s="29"/>
    </row>
    <row r="771" ht="15.75" customHeight="1">
      <c r="C771" s="29"/>
      <c r="D771" s="30"/>
      <c r="F771" s="30"/>
      <c r="I771" s="29"/>
      <c r="J771" s="29"/>
      <c r="L771" s="29"/>
    </row>
    <row r="772" ht="15.75" customHeight="1">
      <c r="C772" s="29"/>
      <c r="D772" s="30"/>
      <c r="F772" s="30"/>
      <c r="I772" s="29"/>
      <c r="J772" s="29"/>
      <c r="L772" s="29"/>
    </row>
    <row r="773" ht="15.75" customHeight="1">
      <c r="C773" s="29"/>
      <c r="D773" s="30"/>
      <c r="F773" s="30"/>
      <c r="I773" s="29"/>
      <c r="J773" s="29"/>
      <c r="L773" s="29"/>
    </row>
    <row r="774" ht="15.75" customHeight="1">
      <c r="C774" s="29"/>
      <c r="D774" s="30"/>
      <c r="F774" s="30"/>
      <c r="I774" s="29"/>
      <c r="J774" s="29"/>
      <c r="L774" s="29"/>
    </row>
    <row r="775" ht="15.75" customHeight="1">
      <c r="C775" s="29"/>
      <c r="D775" s="30"/>
      <c r="F775" s="30"/>
      <c r="I775" s="29"/>
      <c r="J775" s="29"/>
      <c r="L775" s="29"/>
    </row>
    <row r="776" ht="15.75" customHeight="1">
      <c r="C776" s="29"/>
      <c r="D776" s="30"/>
      <c r="F776" s="30"/>
      <c r="I776" s="29"/>
      <c r="J776" s="29"/>
      <c r="L776" s="29"/>
    </row>
    <row r="777" ht="15.75" customHeight="1">
      <c r="C777" s="29"/>
      <c r="D777" s="30"/>
      <c r="F777" s="30"/>
      <c r="I777" s="29"/>
      <c r="J777" s="29"/>
      <c r="L777" s="29"/>
    </row>
    <row r="778" ht="15.75" customHeight="1">
      <c r="C778" s="29"/>
      <c r="D778" s="30"/>
      <c r="F778" s="30"/>
      <c r="I778" s="29"/>
      <c r="J778" s="29"/>
      <c r="L778" s="29"/>
    </row>
    <row r="779" ht="15.75" customHeight="1">
      <c r="C779" s="29"/>
      <c r="D779" s="30"/>
      <c r="F779" s="30"/>
      <c r="I779" s="29"/>
      <c r="J779" s="29"/>
      <c r="L779" s="29"/>
    </row>
    <row r="780" ht="15.75" customHeight="1">
      <c r="C780" s="29"/>
      <c r="D780" s="30"/>
      <c r="F780" s="30"/>
      <c r="I780" s="29"/>
      <c r="J780" s="29"/>
      <c r="L780" s="29"/>
    </row>
    <row r="781" ht="15.75" customHeight="1">
      <c r="C781" s="29"/>
      <c r="D781" s="30"/>
      <c r="F781" s="30"/>
      <c r="I781" s="29"/>
      <c r="J781" s="29"/>
      <c r="L781" s="29"/>
    </row>
    <row r="782" ht="15.75" customHeight="1">
      <c r="C782" s="29"/>
      <c r="D782" s="30"/>
      <c r="F782" s="30"/>
      <c r="I782" s="29"/>
      <c r="J782" s="29"/>
      <c r="L782" s="29"/>
    </row>
    <row r="783" ht="15.75" customHeight="1">
      <c r="C783" s="29"/>
      <c r="D783" s="30"/>
      <c r="F783" s="30"/>
      <c r="I783" s="29"/>
      <c r="J783" s="29"/>
      <c r="L783" s="29"/>
    </row>
    <row r="784" ht="15.75" customHeight="1">
      <c r="C784" s="29"/>
      <c r="D784" s="30"/>
      <c r="F784" s="30"/>
      <c r="I784" s="29"/>
      <c r="J784" s="29"/>
      <c r="L784" s="29"/>
    </row>
    <row r="785" ht="15.75" customHeight="1">
      <c r="C785" s="29"/>
      <c r="D785" s="30"/>
      <c r="F785" s="30"/>
      <c r="I785" s="29"/>
      <c r="J785" s="29"/>
      <c r="L785" s="29"/>
    </row>
    <row r="786" ht="15.75" customHeight="1">
      <c r="C786" s="29"/>
      <c r="D786" s="30"/>
      <c r="F786" s="30"/>
      <c r="I786" s="29"/>
      <c r="J786" s="29"/>
      <c r="L786" s="29"/>
    </row>
    <row r="787" ht="15.75" customHeight="1">
      <c r="C787" s="29"/>
      <c r="D787" s="30"/>
      <c r="F787" s="30"/>
      <c r="I787" s="29"/>
      <c r="J787" s="29"/>
      <c r="L787" s="29"/>
    </row>
    <row r="788" ht="15.75" customHeight="1">
      <c r="C788" s="29"/>
      <c r="D788" s="30"/>
      <c r="F788" s="30"/>
      <c r="I788" s="29"/>
      <c r="J788" s="29"/>
      <c r="L788" s="29"/>
    </row>
    <row r="789" ht="15.75" customHeight="1">
      <c r="C789" s="29"/>
      <c r="D789" s="30"/>
      <c r="F789" s="30"/>
      <c r="I789" s="29"/>
      <c r="J789" s="29"/>
      <c r="L789" s="29"/>
    </row>
    <row r="790" ht="15.75" customHeight="1">
      <c r="C790" s="29"/>
      <c r="D790" s="30"/>
      <c r="F790" s="30"/>
      <c r="I790" s="29"/>
      <c r="J790" s="29"/>
      <c r="L790" s="29"/>
    </row>
    <row r="791" ht="15.75" customHeight="1">
      <c r="C791" s="29"/>
      <c r="D791" s="30"/>
      <c r="F791" s="30"/>
      <c r="I791" s="29"/>
      <c r="J791" s="29"/>
      <c r="L791" s="29"/>
    </row>
    <row r="792" ht="15.75" customHeight="1">
      <c r="C792" s="29"/>
      <c r="D792" s="30"/>
      <c r="F792" s="30"/>
      <c r="I792" s="29"/>
      <c r="J792" s="29"/>
      <c r="L792" s="29"/>
    </row>
    <row r="793" ht="15.75" customHeight="1">
      <c r="C793" s="29"/>
      <c r="D793" s="30"/>
      <c r="F793" s="30"/>
      <c r="I793" s="29"/>
      <c r="J793" s="29"/>
      <c r="L793" s="29"/>
    </row>
    <row r="794" ht="15.75" customHeight="1">
      <c r="C794" s="29"/>
      <c r="D794" s="30"/>
      <c r="F794" s="30"/>
      <c r="I794" s="29"/>
      <c r="J794" s="29"/>
      <c r="L794" s="29"/>
    </row>
    <row r="795" ht="15.75" customHeight="1">
      <c r="C795" s="29"/>
      <c r="D795" s="30"/>
      <c r="F795" s="30"/>
      <c r="I795" s="29"/>
      <c r="J795" s="29"/>
      <c r="L795" s="29"/>
    </row>
    <row r="796" ht="15.75" customHeight="1">
      <c r="C796" s="29"/>
      <c r="D796" s="30"/>
      <c r="F796" s="30"/>
      <c r="I796" s="29"/>
      <c r="J796" s="29"/>
      <c r="L796" s="29"/>
    </row>
    <row r="797" ht="15.75" customHeight="1">
      <c r="C797" s="29"/>
      <c r="D797" s="30"/>
      <c r="F797" s="30"/>
      <c r="I797" s="29"/>
      <c r="J797" s="29"/>
      <c r="L797" s="29"/>
    </row>
    <row r="798" ht="15.75" customHeight="1">
      <c r="C798" s="29"/>
      <c r="D798" s="30"/>
      <c r="F798" s="30"/>
      <c r="I798" s="29"/>
      <c r="J798" s="29"/>
      <c r="L798" s="29"/>
    </row>
    <row r="799" ht="15.75" customHeight="1">
      <c r="C799" s="29"/>
      <c r="D799" s="30"/>
      <c r="F799" s="30"/>
      <c r="I799" s="29"/>
      <c r="J799" s="29"/>
      <c r="L799" s="29"/>
    </row>
    <row r="800" ht="15.75" customHeight="1">
      <c r="C800" s="29"/>
      <c r="D800" s="30"/>
      <c r="F800" s="30"/>
      <c r="I800" s="29"/>
      <c r="J800" s="29"/>
      <c r="L800" s="29"/>
    </row>
    <row r="801" ht="15.75" customHeight="1">
      <c r="C801" s="29"/>
      <c r="D801" s="30"/>
      <c r="F801" s="30"/>
      <c r="I801" s="29"/>
      <c r="J801" s="29"/>
      <c r="L801" s="29"/>
    </row>
    <row r="802" ht="15.75" customHeight="1">
      <c r="C802" s="29"/>
      <c r="D802" s="30"/>
      <c r="F802" s="30"/>
      <c r="I802" s="29"/>
      <c r="J802" s="29"/>
      <c r="L802" s="29"/>
    </row>
    <row r="803" ht="15.75" customHeight="1">
      <c r="C803" s="29"/>
      <c r="D803" s="30"/>
      <c r="F803" s="30"/>
      <c r="I803" s="29"/>
      <c r="J803" s="29"/>
      <c r="L803" s="29"/>
    </row>
    <row r="804" ht="15.75" customHeight="1">
      <c r="C804" s="29"/>
      <c r="D804" s="30"/>
      <c r="F804" s="30"/>
      <c r="I804" s="29"/>
      <c r="J804" s="29"/>
      <c r="L804" s="29"/>
    </row>
    <row r="805" ht="15.75" customHeight="1">
      <c r="C805" s="29"/>
      <c r="D805" s="30"/>
      <c r="F805" s="30"/>
      <c r="I805" s="29"/>
      <c r="J805" s="29"/>
      <c r="L805" s="29"/>
    </row>
    <row r="806" ht="15.75" customHeight="1">
      <c r="C806" s="29"/>
      <c r="D806" s="30"/>
      <c r="F806" s="30"/>
      <c r="I806" s="29"/>
      <c r="J806" s="29"/>
      <c r="L806" s="29"/>
    </row>
    <row r="807" ht="15.75" customHeight="1">
      <c r="C807" s="29"/>
      <c r="D807" s="30"/>
      <c r="F807" s="30"/>
      <c r="I807" s="29"/>
      <c r="J807" s="29"/>
      <c r="L807" s="29"/>
    </row>
    <row r="808" ht="15.75" customHeight="1">
      <c r="C808" s="29"/>
      <c r="D808" s="30"/>
      <c r="F808" s="30"/>
      <c r="I808" s="29"/>
      <c r="J808" s="29"/>
      <c r="L808" s="29"/>
    </row>
    <row r="809" ht="15.75" customHeight="1">
      <c r="C809" s="29"/>
      <c r="D809" s="30"/>
      <c r="F809" s="30"/>
      <c r="I809" s="29"/>
      <c r="J809" s="29"/>
      <c r="L809" s="29"/>
    </row>
    <row r="810" ht="15.75" customHeight="1">
      <c r="C810" s="29"/>
      <c r="D810" s="30"/>
      <c r="F810" s="30"/>
      <c r="I810" s="29"/>
      <c r="J810" s="29"/>
      <c r="L810" s="29"/>
    </row>
    <row r="811" ht="15.75" customHeight="1">
      <c r="C811" s="29"/>
      <c r="D811" s="30"/>
      <c r="F811" s="30"/>
      <c r="I811" s="29"/>
      <c r="J811" s="29"/>
      <c r="L811" s="29"/>
    </row>
    <row r="812" ht="15.75" customHeight="1">
      <c r="C812" s="29"/>
      <c r="D812" s="30"/>
      <c r="F812" s="30"/>
      <c r="I812" s="29"/>
      <c r="J812" s="29"/>
      <c r="L812" s="29"/>
    </row>
    <row r="813" ht="15.75" customHeight="1">
      <c r="C813" s="29"/>
      <c r="D813" s="30"/>
      <c r="F813" s="30"/>
      <c r="I813" s="29"/>
      <c r="J813" s="29"/>
      <c r="L813" s="29"/>
    </row>
    <row r="814" ht="15.75" customHeight="1">
      <c r="C814" s="29"/>
      <c r="D814" s="30"/>
      <c r="F814" s="30"/>
      <c r="I814" s="29"/>
      <c r="J814" s="29"/>
      <c r="L814" s="29"/>
    </row>
    <row r="815" ht="15.75" customHeight="1">
      <c r="C815" s="29"/>
      <c r="D815" s="30"/>
      <c r="F815" s="30"/>
      <c r="I815" s="29"/>
      <c r="J815" s="29"/>
      <c r="L815" s="29"/>
    </row>
    <row r="816" ht="15.75" customHeight="1">
      <c r="C816" s="29"/>
      <c r="D816" s="30"/>
      <c r="F816" s="30"/>
      <c r="I816" s="29"/>
      <c r="J816" s="29"/>
      <c r="L816" s="29"/>
    </row>
    <row r="817" ht="15.75" customHeight="1">
      <c r="C817" s="29"/>
      <c r="D817" s="30"/>
      <c r="F817" s="30"/>
      <c r="I817" s="29"/>
      <c r="J817" s="29"/>
      <c r="L817" s="29"/>
    </row>
    <row r="818" ht="15.75" customHeight="1">
      <c r="C818" s="29"/>
      <c r="D818" s="30"/>
      <c r="F818" s="30"/>
      <c r="I818" s="29"/>
      <c r="J818" s="29"/>
      <c r="L818" s="29"/>
    </row>
    <row r="819" ht="15.75" customHeight="1">
      <c r="C819" s="29"/>
      <c r="D819" s="30"/>
      <c r="F819" s="30"/>
      <c r="I819" s="29"/>
      <c r="J819" s="29"/>
      <c r="L819" s="29"/>
    </row>
    <row r="820" ht="15.75" customHeight="1">
      <c r="C820" s="29"/>
      <c r="D820" s="30"/>
      <c r="F820" s="30"/>
      <c r="I820" s="29"/>
      <c r="J820" s="29"/>
      <c r="L820" s="29"/>
    </row>
    <row r="821" ht="15.75" customHeight="1">
      <c r="C821" s="29"/>
      <c r="D821" s="30"/>
      <c r="F821" s="30"/>
      <c r="I821" s="29"/>
      <c r="J821" s="29"/>
      <c r="L821" s="29"/>
    </row>
    <row r="822" ht="15.75" customHeight="1">
      <c r="C822" s="29"/>
      <c r="D822" s="30"/>
      <c r="F822" s="30"/>
      <c r="I822" s="29"/>
      <c r="J822" s="29"/>
      <c r="L822" s="29"/>
    </row>
    <row r="823" ht="15.75" customHeight="1">
      <c r="C823" s="29"/>
      <c r="D823" s="30"/>
      <c r="F823" s="30"/>
      <c r="I823" s="29"/>
      <c r="J823" s="29"/>
      <c r="L823" s="29"/>
    </row>
    <row r="824" ht="15.75" customHeight="1">
      <c r="C824" s="29"/>
      <c r="D824" s="30"/>
      <c r="F824" s="30"/>
      <c r="I824" s="29"/>
      <c r="J824" s="29"/>
      <c r="L824" s="29"/>
    </row>
    <row r="825" ht="15.75" customHeight="1">
      <c r="C825" s="29"/>
      <c r="D825" s="30"/>
      <c r="F825" s="30"/>
      <c r="I825" s="29"/>
      <c r="J825" s="29"/>
      <c r="L825" s="29"/>
    </row>
    <row r="826" ht="15.75" customHeight="1">
      <c r="C826" s="29"/>
      <c r="D826" s="30"/>
      <c r="F826" s="30"/>
      <c r="I826" s="29"/>
      <c r="J826" s="29"/>
      <c r="L826" s="29"/>
    </row>
    <row r="827" ht="15.75" customHeight="1">
      <c r="C827" s="29"/>
      <c r="D827" s="30"/>
      <c r="F827" s="30"/>
      <c r="I827" s="29"/>
      <c r="J827" s="29"/>
      <c r="L827" s="29"/>
    </row>
    <row r="828" ht="15.75" customHeight="1">
      <c r="C828" s="29"/>
      <c r="D828" s="30"/>
      <c r="F828" s="30"/>
      <c r="I828" s="29"/>
      <c r="J828" s="29"/>
      <c r="L828" s="29"/>
    </row>
    <row r="829" ht="15.75" customHeight="1">
      <c r="C829" s="29"/>
      <c r="D829" s="30"/>
      <c r="F829" s="30"/>
      <c r="I829" s="29"/>
      <c r="J829" s="29"/>
      <c r="L829" s="29"/>
    </row>
    <row r="830" ht="15.75" customHeight="1">
      <c r="C830" s="29"/>
      <c r="D830" s="30"/>
      <c r="F830" s="30"/>
      <c r="I830" s="29"/>
      <c r="J830" s="29"/>
      <c r="L830" s="29"/>
    </row>
    <row r="831" ht="15.75" customHeight="1">
      <c r="C831" s="29"/>
      <c r="D831" s="30"/>
      <c r="F831" s="30"/>
      <c r="I831" s="29"/>
      <c r="J831" s="29"/>
      <c r="L831" s="29"/>
    </row>
    <row r="832" ht="15.75" customHeight="1">
      <c r="C832" s="29"/>
      <c r="D832" s="30"/>
      <c r="F832" s="30"/>
      <c r="I832" s="29"/>
      <c r="J832" s="29"/>
      <c r="L832" s="29"/>
    </row>
    <row r="833" ht="15.75" customHeight="1">
      <c r="C833" s="29"/>
      <c r="D833" s="30"/>
      <c r="F833" s="30"/>
      <c r="I833" s="29"/>
      <c r="J833" s="29"/>
      <c r="L833" s="29"/>
    </row>
    <row r="834" ht="15.75" customHeight="1">
      <c r="C834" s="29"/>
      <c r="D834" s="30"/>
      <c r="F834" s="30"/>
      <c r="I834" s="29"/>
      <c r="J834" s="29"/>
      <c r="L834" s="29"/>
    </row>
    <row r="835" ht="15.75" customHeight="1">
      <c r="C835" s="29"/>
      <c r="D835" s="30"/>
      <c r="F835" s="30"/>
      <c r="I835" s="29"/>
      <c r="J835" s="29"/>
      <c r="L835" s="29"/>
    </row>
    <row r="836" ht="15.75" customHeight="1">
      <c r="C836" s="29"/>
      <c r="D836" s="30"/>
      <c r="F836" s="30"/>
      <c r="I836" s="29"/>
      <c r="J836" s="29"/>
      <c r="L836" s="29"/>
    </row>
    <row r="837" ht="15.75" customHeight="1">
      <c r="C837" s="29"/>
      <c r="D837" s="30"/>
      <c r="F837" s="30"/>
      <c r="I837" s="29"/>
      <c r="J837" s="29"/>
      <c r="L837" s="29"/>
    </row>
    <row r="838" ht="15.75" customHeight="1">
      <c r="C838" s="29"/>
      <c r="D838" s="30"/>
      <c r="F838" s="30"/>
      <c r="I838" s="29"/>
      <c r="J838" s="29"/>
      <c r="L838" s="29"/>
    </row>
    <row r="839" ht="15.75" customHeight="1">
      <c r="C839" s="29"/>
      <c r="D839" s="30"/>
      <c r="F839" s="30"/>
      <c r="I839" s="29"/>
      <c r="J839" s="29"/>
      <c r="L839" s="29"/>
    </row>
    <row r="840" ht="15.75" customHeight="1">
      <c r="C840" s="29"/>
      <c r="D840" s="30"/>
      <c r="F840" s="30"/>
      <c r="I840" s="29"/>
      <c r="J840" s="29"/>
      <c r="L840" s="29"/>
    </row>
    <row r="841" ht="15.75" customHeight="1">
      <c r="C841" s="29"/>
      <c r="D841" s="30"/>
      <c r="F841" s="30"/>
      <c r="I841" s="29"/>
      <c r="J841" s="29"/>
      <c r="L841" s="29"/>
    </row>
    <row r="842" ht="15.75" customHeight="1">
      <c r="C842" s="29"/>
      <c r="D842" s="30"/>
      <c r="F842" s="30"/>
      <c r="I842" s="29"/>
      <c r="J842" s="29"/>
      <c r="L842" s="29"/>
    </row>
    <row r="843" ht="15.75" customHeight="1">
      <c r="C843" s="29"/>
      <c r="D843" s="30"/>
      <c r="F843" s="30"/>
      <c r="I843" s="29"/>
      <c r="J843" s="29"/>
      <c r="L843" s="29"/>
    </row>
    <row r="844" ht="15.75" customHeight="1">
      <c r="C844" s="29"/>
      <c r="D844" s="30"/>
      <c r="F844" s="30"/>
      <c r="I844" s="29"/>
      <c r="J844" s="29"/>
      <c r="L844" s="29"/>
    </row>
    <row r="845" ht="15.75" customHeight="1">
      <c r="C845" s="29"/>
      <c r="D845" s="30"/>
      <c r="F845" s="30"/>
      <c r="I845" s="29"/>
      <c r="J845" s="29"/>
      <c r="L845" s="29"/>
    </row>
    <row r="846" ht="15.75" customHeight="1">
      <c r="C846" s="29"/>
      <c r="D846" s="30"/>
      <c r="F846" s="30"/>
      <c r="I846" s="29"/>
      <c r="J846" s="29"/>
      <c r="L846" s="29"/>
    </row>
    <row r="847" ht="15.75" customHeight="1">
      <c r="C847" s="29"/>
      <c r="D847" s="30"/>
      <c r="F847" s="30"/>
      <c r="I847" s="29"/>
      <c r="J847" s="29"/>
      <c r="L847" s="29"/>
    </row>
    <row r="848" ht="15.75" customHeight="1">
      <c r="C848" s="29"/>
      <c r="D848" s="30"/>
      <c r="F848" s="30"/>
      <c r="I848" s="29"/>
      <c r="J848" s="29"/>
      <c r="L848" s="29"/>
    </row>
    <row r="849" ht="15.75" customHeight="1">
      <c r="C849" s="29"/>
      <c r="D849" s="30"/>
      <c r="F849" s="30"/>
      <c r="I849" s="29"/>
      <c r="J849" s="29"/>
      <c r="L849" s="29"/>
    </row>
    <row r="850" ht="15.75" customHeight="1">
      <c r="C850" s="29"/>
      <c r="D850" s="30"/>
      <c r="F850" s="30"/>
      <c r="I850" s="29"/>
      <c r="J850" s="29"/>
      <c r="L850" s="29"/>
    </row>
    <row r="851" ht="15.75" customHeight="1">
      <c r="C851" s="29"/>
      <c r="D851" s="30"/>
      <c r="F851" s="30"/>
      <c r="I851" s="29"/>
      <c r="J851" s="29"/>
      <c r="L851" s="29"/>
    </row>
    <row r="852" ht="15.75" customHeight="1">
      <c r="C852" s="29"/>
      <c r="D852" s="30"/>
      <c r="F852" s="30"/>
      <c r="I852" s="29"/>
      <c r="J852" s="29"/>
      <c r="L852" s="29"/>
    </row>
    <row r="853" ht="15.75" customHeight="1">
      <c r="C853" s="29"/>
      <c r="D853" s="30"/>
      <c r="F853" s="30"/>
      <c r="I853" s="29"/>
      <c r="J853" s="29"/>
      <c r="L853" s="29"/>
    </row>
    <row r="854" ht="15.75" customHeight="1">
      <c r="C854" s="29"/>
      <c r="D854" s="30"/>
      <c r="F854" s="30"/>
      <c r="I854" s="29"/>
      <c r="J854" s="29"/>
      <c r="L854" s="29"/>
    </row>
    <row r="855" ht="15.75" customHeight="1">
      <c r="C855" s="29"/>
      <c r="D855" s="30"/>
      <c r="F855" s="30"/>
      <c r="I855" s="29"/>
      <c r="J855" s="29"/>
      <c r="L855" s="29"/>
    </row>
    <row r="856" ht="15.75" customHeight="1">
      <c r="C856" s="29"/>
      <c r="D856" s="30"/>
      <c r="F856" s="30"/>
      <c r="I856" s="29"/>
      <c r="J856" s="29"/>
      <c r="L856" s="29"/>
    </row>
    <row r="857" ht="15.75" customHeight="1">
      <c r="C857" s="29"/>
      <c r="D857" s="30"/>
      <c r="F857" s="30"/>
      <c r="I857" s="29"/>
      <c r="J857" s="29"/>
      <c r="L857" s="29"/>
    </row>
    <row r="858" ht="15.75" customHeight="1">
      <c r="C858" s="29"/>
      <c r="D858" s="30"/>
      <c r="F858" s="30"/>
      <c r="I858" s="29"/>
      <c r="J858" s="29"/>
      <c r="L858" s="29"/>
    </row>
    <row r="859" ht="15.75" customHeight="1">
      <c r="C859" s="29"/>
      <c r="D859" s="30"/>
      <c r="F859" s="30"/>
      <c r="I859" s="29"/>
      <c r="J859" s="29"/>
      <c r="L859" s="29"/>
    </row>
    <row r="860" ht="15.75" customHeight="1">
      <c r="C860" s="29"/>
      <c r="D860" s="30"/>
      <c r="F860" s="30"/>
      <c r="I860" s="29"/>
      <c r="J860" s="29"/>
      <c r="L860" s="29"/>
    </row>
    <row r="861" ht="15.75" customHeight="1">
      <c r="C861" s="29"/>
      <c r="D861" s="30"/>
      <c r="F861" s="30"/>
      <c r="I861" s="29"/>
      <c r="J861" s="29"/>
      <c r="L861" s="29"/>
    </row>
    <row r="862" ht="15.75" customHeight="1">
      <c r="C862" s="29"/>
      <c r="D862" s="30"/>
      <c r="F862" s="30"/>
      <c r="I862" s="29"/>
      <c r="J862" s="29"/>
      <c r="L862" s="29"/>
    </row>
    <row r="863" ht="15.75" customHeight="1">
      <c r="C863" s="29"/>
      <c r="D863" s="30"/>
      <c r="F863" s="30"/>
      <c r="I863" s="29"/>
      <c r="J863" s="29"/>
      <c r="L863" s="29"/>
    </row>
    <row r="864" ht="15.75" customHeight="1">
      <c r="C864" s="29"/>
      <c r="D864" s="30"/>
      <c r="F864" s="30"/>
      <c r="I864" s="29"/>
      <c r="J864" s="29"/>
      <c r="L864" s="29"/>
    </row>
    <row r="865" ht="15.75" customHeight="1">
      <c r="C865" s="29"/>
      <c r="D865" s="30"/>
      <c r="F865" s="30"/>
      <c r="I865" s="29"/>
      <c r="J865" s="29"/>
      <c r="L865" s="29"/>
    </row>
    <row r="866" ht="15.75" customHeight="1">
      <c r="C866" s="29"/>
      <c r="D866" s="30"/>
      <c r="F866" s="30"/>
      <c r="I866" s="29"/>
      <c r="J866" s="29"/>
      <c r="L866" s="29"/>
    </row>
    <row r="867" ht="15.75" customHeight="1">
      <c r="C867" s="29"/>
      <c r="D867" s="30"/>
      <c r="F867" s="30"/>
      <c r="I867" s="29"/>
      <c r="J867" s="29"/>
      <c r="L867" s="29"/>
    </row>
    <row r="868" ht="15.75" customHeight="1">
      <c r="C868" s="29"/>
      <c r="D868" s="30"/>
      <c r="F868" s="30"/>
      <c r="I868" s="29"/>
      <c r="J868" s="29"/>
      <c r="L868" s="29"/>
    </row>
    <row r="869" ht="15.75" customHeight="1">
      <c r="C869" s="29"/>
      <c r="D869" s="30"/>
      <c r="F869" s="30"/>
      <c r="I869" s="29"/>
      <c r="J869" s="29"/>
      <c r="L869" s="29"/>
    </row>
    <row r="870" ht="15.75" customHeight="1">
      <c r="C870" s="29"/>
      <c r="D870" s="30"/>
      <c r="F870" s="30"/>
      <c r="I870" s="29"/>
      <c r="J870" s="29"/>
      <c r="L870" s="29"/>
    </row>
    <row r="871" ht="15.75" customHeight="1">
      <c r="C871" s="29"/>
      <c r="D871" s="30"/>
      <c r="F871" s="30"/>
      <c r="I871" s="29"/>
      <c r="J871" s="29"/>
      <c r="L871" s="29"/>
    </row>
    <row r="872" ht="15.75" customHeight="1">
      <c r="C872" s="29"/>
      <c r="D872" s="30"/>
      <c r="F872" s="30"/>
      <c r="I872" s="29"/>
      <c r="J872" s="29"/>
      <c r="L872" s="29"/>
    </row>
    <row r="873" ht="15.75" customHeight="1">
      <c r="C873" s="29"/>
      <c r="D873" s="30"/>
      <c r="F873" s="30"/>
      <c r="I873" s="29"/>
      <c r="J873" s="29"/>
      <c r="L873" s="29"/>
    </row>
    <row r="874" ht="15.75" customHeight="1">
      <c r="C874" s="29"/>
      <c r="D874" s="30"/>
      <c r="F874" s="30"/>
      <c r="I874" s="29"/>
      <c r="J874" s="29"/>
      <c r="L874" s="29"/>
    </row>
    <row r="875" ht="15.75" customHeight="1">
      <c r="C875" s="29"/>
      <c r="D875" s="30"/>
      <c r="F875" s="30"/>
      <c r="I875" s="29"/>
      <c r="J875" s="29"/>
      <c r="L875" s="29"/>
    </row>
    <row r="876" ht="15.75" customHeight="1">
      <c r="C876" s="29"/>
      <c r="D876" s="30"/>
      <c r="F876" s="30"/>
      <c r="I876" s="29"/>
      <c r="J876" s="29"/>
      <c r="L876" s="29"/>
    </row>
    <row r="877" ht="15.75" customHeight="1">
      <c r="C877" s="29"/>
      <c r="D877" s="30"/>
      <c r="F877" s="30"/>
      <c r="I877" s="29"/>
      <c r="J877" s="29"/>
      <c r="L877" s="29"/>
    </row>
    <row r="878" ht="15.75" customHeight="1">
      <c r="C878" s="29"/>
      <c r="D878" s="30"/>
      <c r="F878" s="30"/>
      <c r="I878" s="29"/>
      <c r="J878" s="29"/>
      <c r="L878" s="29"/>
    </row>
    <row r="879" ht="15.75" customHeight="1">
      <c r="C879" s="29"/>
      <c r="D879" s="30"/>
      <c r="F879" s="30"/>
      <c r="I879" s="29"/>
      <c r="J879" s="29"/>
      <c r="L879" s="29"/>
    </row>
    <row r="880" ht="15.75" customHeight="1">
      <c r="C880" s="29"/>
      <c r="D880" s="30"/>
      <c r="F880" s="30"/>
      <c r="I880" s="29"/>
      <c r="J880" s="29"/>
      <c r="L880" s="29"/>
    </row>
    <row r="881" ht="15.75" customHeight="1">
      <c r="C881" s="29"/>
      <c r="D881" s="30"/>
      <c r="F881" s="30"/>
      <c r="I881" s="29"/>
      <c r="J881" s="29"/>
      <c r="L881" s="29"/>
    </row>
    <row r="882" ht="15.75" customHeight="1">
      <c r="C882" s="29"/>
      <c r="D882" s="30"/>
      <c r="F882" s="30"/>
      <c r="I882" s="29"/>
      <c r="J882" s="29"/>
      <c r="L882" s="29"/>
    </row>
    <row r="883" ht="15.75" customHeight="1">
      <c r="C883" s="29"/>
      <c r="D883" s="30"/>
      <c r="F883" s="30"/>
      <c r="I883" s="29"/>
      <c r="J883" s="29"/>
      <c r="L883" s="29"/>
    </row>
    <row r="884" ht="15.75" customHeight="1">
      <c r="C884" s="29"/>
      <c r="D884" s="30"/>
      <c r="F884" s="30"/>
      <c r="I884" s="29"/>
      <c r="J884" s="29"/>
      <c r="L884" s="29"/>
    </row>
    <row r="885" ht="15.75" customHeight="1">
      <c r="C885" s="29"/>
      <c r="D885" s="30"/>
      <c r="F885" s="30"/>
      <c r="I885" s="29"/>
      <c r="J885" s="29"/>
      <c r="L885" s="29"/>
    </row>
    <row r="886" ht="15.75" customHeight="1">
      <c r="C886" s="29"/>
      <c r="D886" s="30"/>
      <c r="F886" s="30"/>
      <c r="I886" s="29"/>
      <c r="J886" s="29"/>
      <c r="L886" s="29"/>
    </row>
    <row r="887" ht="15.75" customHeight="1">
      <c r="C887" s="29"/>
      <c r="D887" s="30"/>
      <c r="F887" s="30"/>
      <c r="I887" s="29"/>
      <c r="J887" s="29"/>
      <c r="L887" s="29"/>
    </row>
    <row r="888" ht="15.75" customHeight="1">
      <c r="C888" s="29"/>
      <c r="D888" s="30"/>
      <c r="F888" s="30"/>
      <c r="I888" s="29"/>
      <c r="J888" s="29"/>
      <c r="L888" s="29"/>
    </row>
    <row r="889" ht="15.75" customHeight="1">
      <c r="C889" s="29"/>
      <c r="D889" s="30"/>
      <c r="F889" s="30"/>
      <c r="I889" s="29"/>
      <c r="J889" s="29"/>
      <c r="L889" s="29"/>
    </row>
    <row r="890" ht="15.75" customHeight="1">
      <c r="C890" s="29"/>
      <c r="D890" s="30"/>
      <c r="F890" s="30"/>
      <c r="I890" s="29"/>
      <c r="J890" s="29"/>
      <c r="L890" s="29"/>
    </row>
    <row r="891" ht="15.75" customHeight="1">
      <c r="C891" s="29"/>
      <c r="D891" s="30"/>
      <c r="F891" s="30"/>
      <c r="I891" s="29"/>
      <c r="J891" s="29"/>
      <c r="L891" s="29"/>
    </row>
    <row r="892" ht="15.75" customHeight="1">
      <c r="C892" s="29"/>
      <c r="D892" s="30"/>
      <c r="F892" s="30"/>
      <c r="I892" s="29"/>
      <c r="J892" s="29"/>
      <c r="L892" s="29"/>
    </row>
    <row r="893" ht="15.75" customHeight="1">
      <c r="C893" s="29"/>
      <c r="D893" s="30"/>
      <c r="F893" s="30"/>
      <c r="I893" s="29"/>
      <c r="J893" s="29"/>
      <c r="L893" s="29"/>
    </row>
    <row r="894" ht="15.75" customHeight="1">
      <c r="C894" s="29"/>
      <c r="D894" s="30"/>
      <c r="F894" s="30"/>
      <c r="I894" s="29"/>
      <c r="J894" s="29"/>
      <c r="L894" s="29"/>
    </row>
    <row r="895" ht="15.75" customHeight="1">
      <c r="C895" s="29"/>
      <c r="D895" s="30"/>
      <c r="F895" s="30"/>
      <c r="I895" s="29"/>
      <c r="J895" s="29"/>
      <c r="L895" s="29"/>
    </row>
    <row r="896" ht="15.75" customHeight="1">
      <c r="C896" s="29"/>
      <c r="D896" s="30"/>
      <c r="F896" s="30"/>
      <c r="I896" s="29"/>
      <c r="J896" s="29"/>
      <c r="L896" s="29"/>
    </row>
    <row r="897" ht="15.75" customHeight="1">
      <c r="C897" s="29"/>
      <c r="D897" s="30"/>
      <c r="F897" s="30"/>
      <c r="I897" s="29"/>
      <c r="J897" s="29"/>
      <c r="L897" s="29"/>
    </row>
    <row r="898" ht="15.75" customHeight="1">
      <c r="C898" s="29"/>
      <c r="D898" s="30"/>
      <c r="F898" s="30"/>
      <c r="I898" s="29"/>
      <c r="J898" s="29"/>
      <c r="L898" s="29"/>
    </row>
    <row r="899" ht="15.75" customHeight="1">
      <c r="C899" s="29"/>
      <c r="D899" s="30"/>
      <c r="F899" s="30"/>
      <c r="I899" s="29"/>
      <c r="J899" s="29"/>
      <c r="L899" s="29"/>
    </row>
    <row r="900" ht="15.75" customHeight="1">
      <c r="C900" s="29"/>
      <c r="D900" s="30"/>
      <c r="F900" s="30"/>
      <c r="I900" s="29"/>
      <c r="J900" s="29"/>
      <c r="L900" s="29"/>
    </row>
    <row r="901" ht="15.75" customHeight="1">
      <c r="C901" s="29"/>
      <c r="D901" s="30"/>
      <c r="F901" s="30"/>
      <c r="I901" s="29"/>
      <c r="J901" s="29"/>
      <c r="L901" s="29"/>
    </row>
    <row r="902" ht="15.75" customHeight="1">
      <c r="C902" s="29"/>
      <c r="D902" s="30"/>
      <c r="F902" s="30"/>
      <c r="I902" s="29"/>
      <c r="J902" s="29"/>
      <c r="L902" s="29"/>
    </row>
    <row r="903" ht="15.75" customHeight="1">
      <c r="C903" s="29"/>
      <c r="D903" s="30"/>
      <c r="F903" s="30"/>
      <c r="I903" s="29"/>
      <c r="J903" s="29"/>
      <c r="L903" s="29"/>
    </row>
    <row r="904" ht="15.75" customHeight="1">
      <c r="C904" s="29"/>
      <c r="D904" s="30"/>
      <c r="F904" s="30"/>
      <c r="I904" s="29"/>
      <c r="J904" s="29"/>
      <c r="L904" s="29"/>
    </row>
    <row r="905" ht="15.75" customHeight="1">
      <c r="C905" s="29"/>
      <c r="D905" s="30"/>
      <c r="F905" s="30"/>
      <c r="I905" s="29"/>
      <c r="J905" s="29"/>
      <c r="L905" s="29"/>
    </row>
    <row r="906" ht="15.75" customHeight="1">
      <c r="C906" s="29"/>
      <c r="D906" s="30"/>
      <c r="F906" s="30"/>
      <c r="I906" s="29"/>
      <c r="J906" s="29"/>
      <c r="L906" s="29"/>
    </row>
    <row r="907" ht="15.75" customHeight="1">
      <c r="C907" s="29"/>
      <c r="D907" s="30"/>
      <c r="F907" s="30"/>
      <c r="I907" s="29"/>
      <c r="J907" s="29"/>
      <c r="L907" s="29"/>
    </row>
    <row r="908" ht="15.75" customHeight="1">
      <c r="C908" s="29"/>
      <c r="D908" s="30"/>
      <c r="F908" s="30"/>
      <c r="I908" s="29"/>
      <c r="J908" s="29"/>
      <c r="L908" s="29"/>
    </row>
    <row r="909" ht="15.75" customHeight="1">
      <c r="C909" s="29"/>
      <c r="D909" s="30"/>
      <c r="F909" s="30"/>
      <c r="I909" s="29"/>
      <c r="J909" s="29"/>
      <c r="L909" s="29"/>
    </row>
    <row r="910" ht="15.75" customHeight="1">
      <c r="C910" s="29"/>
      <c r="D910" s="30"/>
      <c r="F910" s="30"/>
      <c r="I910" s="29"/>
      <c r="J910" s="29"/>
      <c r="L910" s="29"/>
    </row>
    <row r="911" ht="15.75" customHeight="1">
      <c r="C911" s="29"/>
      <c r="D911" s="30"/>
      <c r="F911" s="30"/>
      <c r="I911" s="29"/>
      <c r="J911" s="29"/>
      <c r="L911" s="29"/>
    </row>
    <row r="912" ht="15.75" customHeight="1">
      <c r="C912" s="29"/>
      <c r="D912" s="30"/>
      <c r="F912" s="30"/>
      <c r="I912" s="29"/>
      <c r="J912" s="29"/>
      <c r="L912" s="29"/>
    </row>
    <row r="913" ht="15.75" customHeight="1">
      <c r="C913" s="29"/>
      <c r="D913" s="30"/>
      <c r="F913" s="30"/>
      <c r="I913" s="29"/>
      <c r="J913" s="29"/>
      <c r="L913" s="29"/>
    </row>
    <row r="914" ht="15.75" customHeight="1">
      <c r="C914" s="29"/>
      <c r="D914" s="30"/>
      <c r="F914" s="30"/>
      <c r="I914" s="29"/>
      <c r="J914" s="29"/>
      <c r="L914" s="29"/>
    </row>
    <row r="915" ht="15.75" customHeight="1">
      <c r="C915" s="29"/>
      <c r="D915" s="30"/>
      <c r="F915" s="30"/>
      <c r="I915" s="29"/>
      <c r="J915" s="29"/>
      <c r="L915" s="29"/>
    </row>
    <row r="916" ht="15.75" customHeight="1">
      <c r="C916" s="29"/>
      <c r="D916" s="30"/>
      <c r="F916" s="30"/>
      <c r="I916" s="29"/>
      <c r="J916" s="29"/>
      <c r="L916" s="29"/>
    </row>
    <row r="917" ht="15.75" customHeight="1">
      <c r="C917" s="29"/>
      <c r="D917" s="30"/>
      <c r="F917" s="30"/>
      <c r="I917" s="29"/>
      <c r="J917" s="29"/>
      <c r="L917" s="29"/>
    </row>
    <row r="918" ht="15.75" customHeight="1">
      <c r="C918" s="29"/>
      <c r="D918" s="30"/>
      <c r="F918" s="30"/>
      <c r="I918" s="29"/>
      <c r="J918" s="29"/>
      <c r="L918" s="29"/>
    </row>
    <row r="919" ht="15.75" customHeight="1">
      <c r="C919" s="29"/>
      <c r="D919" s="30"/>
      <c r="F919" s="30"/>
      <c r="I919" s="29"/>
      <c r="J919" s="29"/>
      <c r="L919" s="29"/>
    </row>
    <row r="920" ht="15.75" customHeight="1">
      <c r="C920" s="29"/>
      <c r="D920" s="30"/>
      <c r="F920" s="30"/>
      <c r="I920" s="29"/>
      <c r="J920" s="29"/>
      <c r="L920" s="29"/>
    </row>
    <row r="921" ht="15.75" customHeight="1">
      <c r="C921" s="29"/>
      <c r="D921" s="30"/>
      <c r="F921" s="30"/>
      <c r="I921" s="29"/>
      <c r="J921" s="29"/>
      <c r="L921" s="29"/>
    </row>
    <row r="922" ht="15.75" customHeight="1">
      <c r="C922" s="29"/>
      <c r="D922" s="30"/>
      <c r="F922" s="30"/>
      <c r="I922" s="29"/>
      <c r="J922" s="29"/>
      <c r="L922" s="29"/>
    </row>
    <row r="923" ht="15.75" customHeight="1">
      <c r="C923" s="29"/>
      <c r="D923" s="30"/>
      <c r="F923" s="30"/>
      <c r="I923" s="29"/>
      <c r="J923" s="29"/>
      <c r="L923" s="29"/>
    </row>
    <row r="924" ht="15.75" customHeight="1">
      <c r="C924" s="29"/>
      <c r="D924" s="30"/>
      <c r="F924" s="30"/>
      <c r="I924" s="29"/>
      <c r="J924" s="29"/>
      <c r="L924" s="29"/>
    </row>
    <row r="925" ht="15.75" customHeight="1">
      <c r="C925" s="29"/>
      <c r="D925" s="30"/>
      <c r="F925" s="30"/>
      <c r="I925" s="29"/>
      <c r="J925" s="29"/>
      <c r="L925" s="29"/>
    </row>
    <row r="926" ht="15.75" customHeight="1">
      <c r="C926" s="29"/>
      <c r="D926" s="30"/>
      <c r="F926" s="30"/>
      <c r="I926" s="29"/>
      <c r="J926" s="29"/>
      <c r="L926" s="29"/>
    </row>
    <row r="927" ht="15.75" customHeight="1">
      <c r="C927" s="29"/>
      <c r="D927" s="30"/>
      <c r="F927" s="30"/>
      <c r="I927" s="29"/>
      <c r="J927" s="29"/>
      <c r="L927" s="29"/>
    </row>
    <row r="928" ht="15.75" customHeight="1">
      <c r="C928" s="29"/>
      <c r="D928" s="30"/>
      <c r="F928" s="30"/>
      <c r="I928" s="29"/>
      <c r="J928" s="29"/>
      <c r="L928" s="29"/>
    </row>
    <row r="929" ht="15.75" customHeight="1">
      <c r="C929" s="29"/>
      <c r="D929" s="30"/>
      <c r="F929" s="30"/>
      <c r="I929" s="29"/>
      <c r="J929" s="29"/>
      <c r="L929" s="29"/>
    </row>
    <row r="930" ht="15.75" customHeight="1">
      <c r="C930" s="29"/>
      <c r="D930" s="30"/>
      <c r="F930" s="30"/>
      <c r="I930" s="29"/>
      <c r="J930" s="29"/>
      <c r="L930" s="29"/>
    </row>
    <row r="931" ht="15.75" customHeight="1">
      <c r="C931" s="29"/>
      <c r="D931" s="30"/>
      <c r="F931" s="30"/>
      <c r="I931" s="29"/>
      <c r="J931" s="29"/>
      <c r="L931" s="29"/>
    </row>
    <row r="932" ht="15.75" customHeight="1">
      <c r="C932" s="29"/>
      <c r="D932" s="30"/>
      <c r="F932" s="30"/>
      <c r="I932" s="29"/>
      <c r="J932" s="29"/>
      <c r="L932" s="29"/>
    </row>
    <row r="933" ht="15.75" customHeight="1">
      <c r="C933" s="29"/>
      <c r="D933" s="30"/>
      <c r="F933" s="30"/>
      <c r="I933" s="29"/>
      <c r="J933" s="29"/>
      <c r="L933" s="29"/>
    </row>
    <row r="934" ht="15.75" customHeight="1">
      <c r="C934" s="29"/>
      <c r="D934" s="30"/>
      <c r="F934" s="30"/>
      <c r="I934" s="29"/>
      <c r="J934" s="29"/>
      <c r="L934" s="29"/>
    </row>
    <row r="935" ht="15.75" customHeight="1">
      <c r="C935" s="29"/>
      <c r="D935" s="30"/>
      <c r="F935" s="30"/>
      <c r="I935" s="29"/>
      <c r="J935" s="29"/>
      <c r="L935" s="29"/>
    </row>
    <row r="936" ht="15.75" customHeight="1">
      <c r="C936" s="29"/>
      <c r="D936" s="30"/>
      <c r="F936" s="30"/>
      <c r="I936" s="29"/>
      <c r="J936" s="29"/>
      <c r="L936" s="29"/>
    </row>
    <row r="937" ht="15.75" customHeight="1">
      <c r="C937" s="29"/>
      <c r="D937" s="30"/>
      <c r="F937" s="30"/>
      <c r="I937" s="29"/>
      <c r="J937" s="29"/>
      <c r="L937" s="29"/>
    </row>
    <row r="938" ht="15.75" customHeight="1">
      <c r="C938" s="29"/>
      <c r="D938" s="30"/>
      <c r="F938" s="30"/>
      <c r="I938" s="29"/>
      <c r="J938" s="29"/>
      <c r="L938" s="29"/>
    </row>
    <row r="939" ht="15.75" customHeight="1">
      <c r="C939" s="29"/>
      <c r="D939" s="30"/>
      <c r="F939" s="30"/>
      <c r="I939" s="29"/>
      <c r="J939" s="29"/>
      <c r="L939" s="29"/>
    </row>
    <row r="940" ht="15.75" customHeight="1">
      <c r="C940" s="29"/>
      <c r="D940" s="30"/>
      <c r="F940" s="30"/>
      <c r="I940" s="29"/>
      <c r="J940" s="29"/>
      <c r="L940" s="29"/>
    </row>
    <row r="941" ht="15.75" customHeight="1">
      <c r="C941" s="29"/>
      <c r="D941" s="30"/>
      <c r="F941" s="30"/>
      <c r="I941" s="29"/>
      <c r="J941" s="29"/>
      <c r="L941" s="29"/>
    </row>
    <row r="942" ht="15.75" customHeight="1">
      <c r="C942" s="29"/>
      <c r="D942" s="30"/>
      <c r="F942" s="30"/>
      <c r="I942" s="29"/>
      <c r="J942" s="29"/>
      <c r="L942" s="29"/>
    </row>
    <row r="943" ht="15.75" customHeight="1">
      <c r="C943" s="29"/>
      <c r="D943" s="30"/>
      <c r="F943" s="30"/>
      <c r="I943" s="29"/>
      <c r="J943" s="29"/>
      <c r="L943" s="29"/>
    </row>
    <row r="944" ht="15.75" customHeight="1">
      <c r="C944" s="29"/>
      <c r="D944" s="30"/>
      <c r="F944" s="30"/>
      <c r="I944" s="29"/>
      <c r="J944" s="29"/>
      <c r="L944" s="29"/>
    </row>
    <row r="945" ht="15.75" customHeight="1">
      <c r="C945" s="29"/>
      <c r="D945" s="30"/>
      <c r="F945" s="30"/>
      <c r="I945" s="29"/>
      <c r="J945" s="29"/>
      <c r="L945" s="29"/>
    </row>
    <row r="946" ht="15.75" customHeight="1">
      <c r="C946" s="29"/>
      <c r="D946" s="30"/>
      <c r="F946" s="30"/>
      <c r="I946" s="29"/>
      <c r="J946" s="29"/>
      <c r="L946" s="29"/>
    </row>
    <row r="947" ht="15.75" customHeight="1">
      <c r="C947" s="29"/>
      <c r="D947" s="30"/>
      <c r="F947" s="30"/>
      <c r="I947" s="29"/>
      <c r="J947" s="29"/>
      <c r="L947" s="29"/>
    </row>
    <row r="948" ht="15.75" customHeight="1">
      <c r="C948" s="29"/>
      <c r="D948" s="30"/>
      <c r="F948" s="30"/>
      <c r="I948" s="29"/>
      <c r="J948" s="29"/>
      <c r="L948" s="29"/>
    </row>
    <row r="949" ht="15.75" customHeight="1">
      <c r="C949" s="29"/>
      <c r="D949" s="30"/>
      <c r="F949" s="30"/>
      <c r="I949" s="29"/>
      <c r="J949" s="29"/>
      <c r="L949" s="29"/>
    </row>
    <row r="950" ht="15.75" customHeight="1">
      <c r="C950" s="29"/>
      <c r="D950" s="30"/>
      <c r="F950" s="30"/>
      <c r="I950" s="29"/>
      <c r="J950" s="29"/>
      <c r="L950" s="29"/>
    </row>
    <row r="951" ht="15.75" customHeight="1">
      <c r="C951" s="29"/>
      <c r="D951" s="30"/>
      <c r="F951" s="30"/>
      <c r="I951" s="29"/>
      <c r="J951" s="29"/>
      <c r="L951" s="29"/>
    </row>
    <row r="952" ht="15.75" customHeight="1">
      <c r="C952" s="29"/>
      <c r="D952" s="30"/>
      <c r="F952" s="30"/>
      <c r="I952" s="29"/>
      <c r="J952" s="29"/>
      <c r="L952" s="29"/>
    </row>
    <row r="953" ht="15.75" customHeight="1">
      <c r="C953" s="29"/>
      <c r="D953" s="30"/>
      <c r="F953" s="30"/>
      <c r="I953" s="29"/>
      <c r="J953" s="29"/>
      <c r="L953" s="29"/>
    </row>
    <row r="954" ht="15.75" customHeight="1">
      <c r="C954" s="29"/>
      <c r="D954" s="30"/>
      <c r="F954" s="30"/>
      <c r="I954" s="29"/>
      <c r="J954" s="29"/>
      <c r="L954" s="29"/>
    </row>
    <row r="955" ht="15.75" customHeight="1">
      <c r="C955" s="29"/>
      <c r="D955" s="30"/>
      <c r="F955" s="30"/>
      <c r="I955" s="29"/>
      <c r="J955" s="29"/>
      <c r="L955" s="29"/>
    </row>
    <row r="956" ht="15.75" customHeight="1">
      <c r="C956" s="29"/>
      <c r="D956" s="30"/>
      <c r="F956" s="30"/>
      <c r="I956" s="29"/>
      <c r="J956" s="29"/>
      <c r="L956" s="29"/>
    </row>
    <row r="957" ht="15.75" customHeight="1">
      <c r="C957" s="29"/>
      <c r="D957" s="30"/>
      <c r="F957" s="30"/>
      <c r="I957" s="29"/>
      <c r="J957" s="29"/>
      <c r="L957" s="29"/>
    </row>
    <row r="958" ht="15.75" customHeight="1">
      <c r="C958" s="29"/>
      <c r="D958" s="30"/>
      <c r="F958" s="30"/>
      <c r="I958" s="29"/>
      <c r="J958" s="29"/>
      <c r="L958" s="29"/>
    </row>
    <row r="959" ht="15.75" customHeight="1">
      <c r="C959" s="29"/>
      <c r="D959" s="30"/>
      <c r="F959" s="30"/>
      <c r="I959" s="29"/>
      <c r="J959" s="29"/>
      <c r="L959" s="29"/>
    </row>
    <row r="960" ht="15.75" customHeight="1">
      <c r="C960" s="29"/>
      <c r="D960" s="30"/>
      <c r="F960" s="30"/>
      <c r="I960" s="29"/>
      <c r="J960" s="29"/>
      <c r="L960" s="29"/>
    </row>
    <row r="961" ht="15.75" customHeight="1">
      <c r="C961" s="29"/>
      <c r="D961" s="30"/>
      <c r="F961" s="30"/>
      <c r="I961" s="29"/>
      <c r="J961" s="29"/>
      <c r="L961" s="29"/>
    </row>
    <row r="962" ht="15.75" customHeight="1">
      <c r="C962" s="29"/>
      <c r="D962" s="30"/>
      <c r="F962" s="30"/>
      <c r="I962" s="29"/>
      <c r="J962" s="29"/>
      <c r="L962" s="29"/>
    </row>
    <row r="963" ht="15.75" customHeight="1">
      <c r="C963" s="29"/>
      <c r="D963" s="30"/>
      <c r="F963" s="30"/>
      <c r="I963" s="29"/>
      <c r="J963" s="29"/>
      <c r="L963" s="29"/>
    </row>
    <row r="964" ht="15.75" customHeight="1">
      <c r="C964" s="29"/>
      <c r="D964" s="30"/>
      <c r="F964" s="30"/>
      <c r="I964" s="29"/>
      <c r="J964" s="29"/>
      <c r="L964" s="29"/>
    </row>
    <row r="965" ht="15.75" customHeight="1">
      <c r="C965" s="29"/>
      <c r="D965" s="30"/>
      <c r="F965" s="30"/>
      <c r="I965" s="29"/>
      <c r="J965" s="29"/>
      <c r="L965" s="29"/>
    </row>
    <row r="966" ht="15.75" customHeight="1">
      <c r="C966" s="29"/>
      <c r="D966" s="30"/>
      <c r="F966" s="30"/>
      <c r="I966" s="29"/>
      <c r="J966" s="29"/>
      <c r="L966" s="29"/>
    </row>
    <row r="967" ht="15.75" customHeight="1">
      <c r="C967" s="29"/>
      <c r="D967" s="30"/>
      <c r="F967" s="30"/>
      <c r="I967" s="29"/>
      <c r="J967" s="29"/>
      <c r="L967" s="29"/>
    </row>
    <row r="968" ht="15.75" customHeight="1">
      <c r="C968" s="29"/>
      <c r="D968" s="30"/>
      <c r="F968" s="30"/>
      <c r="I968" s="29"/>
      <c r="J968" s="29"/>
      <c r="L968" s="29"/>
    </row>
    <row r="969" ht="15.75" customHeight="1">
      <c r="C969" s="29"/>
      <c r="D969" s="30"/>
      <c r="F969" s="30"/>
      <c r="I969" s="29"/>
      <c r="J969" s="29"/>
      <c r="L969" s="29"/>
    </row>
    <row r="970" ht="15.75" customHeight="1">
      <c r="C970" s="29"/>
      <c r="D970" s="30"/>
      <c r="F970" s="30"/>
      <c r="I970" s="29"/>
      <c r="J970" s="29"/>
      <c r="L970" s="29"/>
    </row>
    <row r="971" ht="15.75" customHeight="1">
      <c r="C971" s="29"/>
      <c r="D971" s="30"/>
      <c r="F971" s="30"/>
      <c r="I971" s="29"/>
      <c r="J971" s="29"/>
      <c r="L971" s="29"/>
    </row>
    <row r="972" ht="15.75" customHeight="1">
      <c r="C972" s="29"/>
      <c r="D972" s="30"/>
      <c r="F972" s="30"/>
      <c r="I972" s="29"/>
      <c r="J972" s="29"/>
      <c r="L972" s="29"/>
    </row>
    <row r="973" ht="15.75" customHeight="1">
      <c r="C973" s="29"/>
      <c r="D973" s="30"/>
      <c r="F973" s="30"/>
      <c r="I973" s="29"/>
      <c r="J973" s="29"/>
      <c r="L973" s="29"/>
    </row>
    <row r="974" ht="15.75" customHeight="1">
      <c r="C974" s="29"/>
      <c r="D974" s="30"/>
      <c r="F974" s="30"/>
      <c r="I974" s="29"/>
      <c r="J974" s="29"/>
      <c r="L974" s="29"/>
    </row>
    <row r="975" ht="15.75" customHeight="1">
      <c r="C975" s="29"/>
      <c r="D975" s="30"/>
      <c r="F975" s="30"/>
      <c r="I975" s="29"/>
      <c r="J975" s="29"/>
      <c r="L975" s="29"/>
    </row>
    <row r="976" ht="15.75" customHeight="1">
      <c r="C976" s="29"/>
      <c r="D976" s="30"/>
      <c r="F976" s="30"/>
      <c r="I976" s="29"/>
      <c r="J976" s="29"/>
      <c r="L976" s="29"/>
    </row>
    <row r="977" ht="15.75" customHeight="1">
      <c r="C977" s="29"/>
      <c r="D977" s="30"/>
      <c r="F977" s="30"/>
      <c r="I977" s="29"/>
      <c r="J977" s="29"/>
      <c r="L977" s="29"/>
    </row>
    <row r="978" ht="15.75" customHeight="1">
      <c r="C978" s="29"/>
      <c r="D978" s="30"/>
      <c r="F978" s="30"/>
      <c r="I978" s="29"/>
      <c r="J978" s="29"/>
      <c r="L978" s="29"/>
    </row>
    <row r="979" ht="15.75" customHeight="1">
      <c r="C979" s="29"/>
      <c r="D979" s="30"/>
      <c r="F979" s="30"/>
      <c r="I979" s="29"/>
      <c r="J979" s="29"/>
      <c r="L979" s="29"/>
    </row>
    <row r="980" ht="15.75" customHeight="1">
      <c r="C980" s="29"/>
      <c r="D980" s="30"/>
      <c r="F980" s="30"/>
      <c r="I980" s="29"/>
      <c r="J980" s="29"/>
      <c r="L980" s="29"/>
    </row>
    <row r="981" ht="15.75" customHeight="1">
      <c r="C981" s="29"/>
      <c r="D981" s="30"/>
      <c r="F981" s="30"/>
      <c r="I981" s="29"/>
      <c r="J981" s="29"/>
      <c r="L981" s="29"/>
    </row>
    <row r="982" ht="15.75" customHeight="1">
      <c r="C982" s="29"/>
      <c r="D982" s="30"/>
      <c r="F982" s="30"/>
      <c r="I982" s="29"/>
      <c r="J982" s="29"/>
      <c r="L982" s="29"/>
    </row>
    <row r="983" ht="15.75" customHeight="1">
      <c r="C983" s="29"/>
      <c r="D983" s="30"/>
      <c r="F983" s="30"/>
      <c r="I983" s="29"/>
      <c r="J983" s="29"/>
      <c r="L983" s="29"/>
    </row>
    <row r="984" ht="15.75" customHeight="1">
      <c r="C984" s="29"/>
      <c r="D984" s="30"/>
      <c r="F984" s="30"/>
      <c r="I984" s="29"/>
      <c r="J984" s="29"/>
      <c r="L984" s="29"/>
    </row>
    <row r="985" ht="15.75" customHeight="1">
      <c r="C985" s="29"/>
      <c r="D985" s="30"/>
      <c r="F985" s="30"/>
      <c r="I985" s="29"/>
      <c r="J985" s="29"/>
      <c r="L985" s="29"/>
    </row>
    <row r="986" ht="15.75" customHeight="1">
      <c r="C986" s="29"/>
      <c r="D986" s="30"/>
      <c r="F986" s="30"/>
      <c r="I986" s="29"/>
      <c r="J986" s="29"/>
      <c r="L986" s="29"/>
    </row>
    <row r="987" ht="15.75" customHeight="1">
      <c r="C987" s="29"/>
      <c r="D987" s="30"/>
      <c r="F987" s="30"/>
      <c r="I987" s="29"/>
      <c r="J987" s="29"/>
      <c r="L987" s="29"/>
    </row>
    <row r="988" ht="15.75" customHeight="1">
      <c r="C988" s="29"/>
      <c r="D988" s="30"/>
      <c r="F988" s="30"/>
      <c r="I988" s="29"/>
      <c r="J988" s="29"/>
      <c r="L988" s="29"/>
    </row>
    <row r="989" ht="15.75" customHeight="1">
      <c r="C989" s="29"/>
      <c r="D989" s="30"/>
      <c r="F989" s="30"/>
      <c r="I989" s="29"/>
      <c r="J989" s="29"/>
      <c r="L989" s="29"/>
    </row>
    <row r="990" ht="15.75" customHeight="1">
      <c r="C990" s="29"/>
      <c r="D990" s="30"/>
      <c r="F990" s="30"/>
      <c r="I990" s="29"/>
      <c r="J990" s="29"/>
      <c r="L990" s="29"/>
    </row>
    <row r="991" ht="15.75" customHeight="1">
      <c r="C991" s="29"/>
      <c r="D991" s="30"/>
      <c r="F991" s="30"/>
      <c r="I991" s="29"/>
      <c r="J991" s="29"/>
      <c r="L991" s="29"/>
    </row>
    <row r="992" ht="15.75" customHeight="1">
      <c r="C992" s="29"/>
      <c r="D992" s="30"/>
      <c r="F992" s="30"/>
      <c r="I992" s="29"/>
      <c r="J992" s="29"/>
      <c r="L992" s="29"/>
    </row>
    <row r="993" ht="15.75" customHeight="1">
      <c r="C993" s="29"/>
      <c r="D993" s="30"/>
      <c r="F993" s="30"/>
      <c r="I993" s="29"/>
      <c r="J993" s="29"/>
      <c r="L993" s="29"/>
    </row>
    <row r="994" ht="15.75" customHeight="1">
      <c r="C994" s="29"/>
      <c r="D994" s="30"/>
      <c r="F994" s="30"/>
      <c r="I994" s="29"/>
      <c r="J994" s="29"/>
      <c r="L994" s="29"/>
    </row>
    <row r="995" ht="15.75" customHeight="1">
      <c r="C995" s="29"/>
      <c r="D995" s="30"/>
      <c r="F995" s="30"/>
      <c r="I995" s="29"/>
      <c r="J995" s="29"/>
      <c r="L995" s="29"/>
    </row>
    <row r="996" ht="15.75" customHeight="1">
      <c r="C996" s="29"/>
      <c r="D996" s="30"/>
      <c r="F996" s="30"/>
      <c r="I996" s="29"/>
      <c r="J996" s="29"/>
      <c r="L996" s="29"/>
    </row>
    <row r="997" ht="15.75" customHeight="1">
      <c r="C997" s="29"/>
      <c r="D997" s="30"/>
      <c r="F997" s="30"/>
      <c r="I997" s="29"/>
      <c r="J997" s="29"/>
      <c r="L997" s="29"/>
    </row>
    <row r="998" ht="15.75" customHeight="1">
      <c r="C998" s="29"/>
      <c r="D998" s="30"/>
      <c r="F998" s="30"/>
      <c r="I998" s="29"/>
      <c r="J998" s="29"/>
      <c r="L998" s="29"/>
    </row>
    <row r="999" ht="15.75" customHeight="1">
      <c r="C999" s="29"/>
      <c r="D999" s="30"/>
      <c r="F999" s="30"/>
      <c r="I999" s="29"/>
      <c r="J999" s="29"/>
      <c r="L999" s="29"/>
    </row>
    <row r="1000" ht="15.75" customHeight="1">
      <c r="C1000" s="29"/>
      <c r="D1000" s="30"/>
      <c r="F1000" s="30"/>
      <c r="I1000" s="29"/>
      <c r="J1000" s="29"/>
      <c r="L1000" s="29"/>
    </row>
  </sheetData>
  <mergeCells count="9">
    <mergeCell ref="B42:D42"/>
    <mergeCell ref="B52:D52"/>
    <mergeCell ref="B2:X2"/>
    <mergeCell ref="B7:C7"/>
    <mergeCell ref="B14:F14"/>
    <mergeCell ref="C15:H15"/>
    <mergeCell ref="B32:D32"/>
    <mergeCell ref="H32:J32"/>
    <mergeCell ref="H42:J42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67.29"/>
    <col customWidth="1" min="3" max="3" width="72.29"/>
    <col customWidth="1" min="4" max="6" width="9.14"/>
    <col customWidth="1" min="7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3" t="s">
        <v>0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9" t="s">
        <v>615</v>
      </c>
      <c r="C4" s="6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9" t="s">
        <v>616</v>
      </c>
      <c r="C5" s="70">
        <v>6.0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9" t="s">
        <v>617</v>
      </c>
      <c r="C6" s="6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9" t="s">
        <v>618</v>
      </c>
      <c r="C7" s="6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"/>
      <c r="B9" s="71" t="s">
        <v>619</v>
      </c>
      <c r="C9" s="7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73" t="s">
        <v>620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74" t="s">
        <v>621</v>
      </c>
      <c r="C11" s="75" t="s">
        <v>622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76" t="s">
        <v>9</v>
      </c>
      <c r="C12" s="77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8" t="str">
        <f>IF('AV 2'!C13="Às vezes",'AV 2'!B13,"-")</f>
        <v>-</v>
      </c>
      <c r="C13" s="78" t="str">
        <f>IF('AV 2'!C13="Não",'AV 2'!B13,"-")</f>
        <v>-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8" t="str">
        <f>IF('AV 2'!C14="Às vezes",'AV 2'!B14,"-")</f>
        <v>-</v>
      </c>
      <c r="C14" s="78" t="str">
        <f>IF('AV 2'!C14="Não",'AV 2'!B14,"-")</f>
        <v>02 Sorri em resposta à atenção do adulto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8" t="str">
        <f>IF('AV 2'!C15="Às vezes",'AV 2'!B15,"-")</f>
        <v>03 Vocaliza em resposta à atenção</v>
      </c>
      <c r="C15" s="78" t="str">
        <f>IF('AV 2'!C15="Não",'AV 2'!B15,"-")</f>
        <v>-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8" t="str">
        <f>IF('AV 2'!C16="Às vezes",'AV 2'!B16,"-")</f>
        <v>-</v>
      </c>
      <c r="C16" s="78" t="str">
        <f>IF('AV 2'!C16="Não",'AV 2'!B16,"-")</f>
        <v>-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8" t="str">
        <f>IF('AV 2'!C17="Às vezes",'AV 2'!B17,"-")</f>
        <v>-</v>
      </c>
      <c r="C17" s="78" t="str">
        <f>IF('AV 2'!C17="Não",'AV 2'!B17,"-")</f>
        <v>-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8" t="str">
        <f>IF('AV 2'!C18="Às vezes",'AV 2'!B18,"-")</f>
        <v>-</v>
      </c>
      <c r="C18" s="78" t="str">
        <f>IF('AV 2'!C18="Não",'AV 2'!B18,"-")</f>
        <v>-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8" t="str">
        <f>IF('AV 2'!C19="Às vezes",'AV 2'!B19,"-")</f>
        <v>-</v>
      </c>
      <c r="C19" s="78" t="str">
        <f>IF('AV 2'!C19="Não",'AV 2'!B19,"-")</f>
        <v>-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8" t="str">
        <f>IF('AV 2'!C20="Às vezes",'AV 2'!B20,"-")</f>
        <v>-</v>
      </c>
      <c r="C20" s="78" t="str">
        <f>IF('AV 2'!C20="Não",'AV 2'!B20,"-")</f>
        <v>-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78" t="str">
        <f>IF('AV 2'!C21="Às vezes",'AV 2'!B21,"-")</f>
        <v>-</v>
      </c>
      <c r="C21" s="78" t="str">
        <f>IF('AV 2'!C21="Não",'AV 2'!B21,"-")</f>
        <v>-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78" t="str">
        <f>IF('AV 2'!C22="Às vezes",'AV 2'!B22,"-")</f>
        <v>-</v>
      </c>
      <c r="C22" s="78" t="str">
        <f>IF('AV 2'!C22="Não",'AV 2'!B22,"-")</f>
        <v>-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78" t="str">
        <f>IF('AV 2'!C23="Às vezes",'AV 2'!B23,"-")</f>
        <v>-</v>
      </c>
      <c r="C23" s="78" t="str">
        <f>IF('AV 2'!C23="Não",'AV 2'!B23,"-")</f>
        <v>-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8" t="str">
        <f>IF('AV 2'!C24="Às vezes",'AV 2'!B24,"-")</f>
        <v>-</v>
      </c>
      <c r="C24" s="78" t="str">
        <f>IF('AV 2'!C24="Não",'AV 2'!B24,"-")</f>
        <v>-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8" t="str">
        <f>IF('AV 2'!C25="Às vezes",'AV 2'!B25,"-")</f>
        <v>-</v>
      </c>
      <c r="C25" s="78" t="str">
        <f>IF('AV 2'!C25="Não",'AV 2'!B25,"-")</f>
        <v>-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8" t="str">
        <f>IF('AV 2'!C26="Às vezes",'AV 2'!B26,"-")</f>
        <v>-</v>
      </c>
      <c r="C26" s="78" t="str">
        <f>IF('AV 2'!C26="Não",'AV 2'!B26,"-")</f>
        <v>-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8" t="str">
        <f>IF('AV 2'!C27="Às vezes",'AV 2'!B27,"-")</f>
        <v>-</v>
      </c>
      <c r="C27" s="78" t="str">
        <f>IF('AV 2'!C27="Não",'AV 2'!B27,"-")</f>
        <v>-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78" t="str">
        <f>IF('AV 2'!C28="Às vezes",'AV 2'!B28,"-")</f>
        <v>-</v>
      </c>
      <c r="C28" s="78" t="str">
        <f>IF('AV 2'!C28="Não",'AV 2'!B28,"-")</f>
        <v>-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78" t="str">
        <f>IF('AV 2'!C29="Às vezes",'AV 2'!B29,"-")</f>
        <v>-</v>
      </c>
      <c r="C29" s="78" t="str">
        <f>IF('AV 2'!C29="Não",'AV 2'!B29,"-")</f>
        <v>-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8" t="str">
        <f>IF('AV 2'!C30="Às vezes",'AV 2'!B30,"-")</f>
        <v>-</v>
      </c>
      <c r="C30" s="78" t="str">
        <f>IF('AV 2'!C30="Não",'AV 2'!B30,"-")</f>
        <v>-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8" t="str">
        <f>IF('AV 2'!C31="Às vezes",'AV 2'!B31,"-")</f>
        <v>-</v>
      </c>
      <c r="C31" s="78" t="str">
        <f>IF('AV 2'!C31="Não",'AV 2'!B31,"-")</f>
        <v>-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78" t="str">
        <f>IF('AV 2'!C32="Às vezes",'AV 2'!B32,"-")</f>
        <v>-</v>
      </c>
      <c r="C32" s="78" t="str">
        <f>IF('AV 2'!C32="Não",'AV 2'!B32,"-")</f>
        <v>-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78" t="str">
        <f>IF('AV 2'!C33="Às vezes",'AV 2'!B33,"-")</f>
        <v>-</v>
      </c>
      <c r="C33" s="78" t="str">
        <f>IF('AV 2'!C33="Não",'AV 2'!B33,"-")</f>
        <v>-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78" t="str">
        <f>IF('AV 2'!C34="Às vezes",'AV 2'!B34,"-")</f>
        <v>-</v>
      </c>
      <c r="C34" s="78" t="str">
        <f>IF('AV 2'!C34="Não",'AV 2'!B34,"-")</f>
        <v>-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78" t="str">
        <f>IF('AV 2'!C35="Às vezes",'AV 2'!B35,"-")</f>
        <v>-</v>
      </c>
      <c r="C35" s="78" t="str">
        <f>IF('AV 2'!C35="Não",'AV 2'!B35,"-")</f>
        <v>-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8" t="str">
        <f>IF('AV 2'!C36="Às vezes",'AV 2'!B36,"-")</f>
        <v>-</v>
      </c>
      <c r="C36" s="78" t="str">
        <f>IF('AV 2'!C36="Não",'AV 2'!B36,"-")</f>
        <v>-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78" t="str">
        <f>IF('AV 2'!C37="Às vezes",'AV 2'!B37,"-")</f>
        <v>-</v>
      </c>
      <c r="C37" s="78" t="str">
        <f>IF('AV 2'!C37="Não",'AV 2'!B37,"-")</f>
        <v>-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78" t="str">
        <f>IF('AV 2'!C38="Às vezes",'AV 2'!B38,"-")</f>
        <v>-</v>
      </c>
      <c r="C38" s="78" t="str">
        <f>IF('AV 2'!C38="Não",'AV 2'!B38,"-")</f>
        <v>-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78" t="str">
        <f>IF('AV 2'!C39="Às vezes",'AV 2'!B39,"-")</f>
        <v>-</v>
      </c>
      <c r="C39" s="78" t="str">
        <f>IF('AV 2'!C39="Não",'AV 2'!B39,"-")</f>
        <v>-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78" t="str">
        <f>IF('AV 2'!C40="Às vezes",'AV 2'!B40,"-")</f>
        <v>-</v>
      </c>
      <c r="C40" s="78" t="str">
        <f>IF('AV 2'!C40="Não",'AV 2'!B40,"-")</f>
        <v>-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78" t="str">
        <f>IF('AV 2'!C41="Às vezes",'AV 2'!B41,"-")</f>
        <v>-</v>
      </c>
      <c r="C41" s="78" t="str">
        <f>IF('AV 2'!C41="Não",'AV 2'!B41,"-")</f>
        <v>-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8" t="str">
        <f>IF('AV 2'!C42="Às vezes",'AV 2'!B42,"-")</f>
        <v>-</v>
      </c>
      <c r="C42" s="78" t="str">
        <f>IF('AV 2'!C42="Não",'AV 2'!B42,"-")</f>
        <v>-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78" t="str">
        <f>IF('AV 2'!C43="Às vezes",'AV 2'!B43,"-")</f>
        <v>-</v>
      </c>
      <c r="C43" s="78" t="str">
        <f>IF('AV 2'!C43="Não",'AV 2'!B43,"-")</f>
        <v>-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78" t="str">
        <f>IF('AV 2'!C44="Às vezes",'AV 2'!B44,"-")</f>
        <v>-</v>
      </c>
      <c r="C44" s="78" t="str">
        <f>IF('AV 2'!C44="Não",'AV 2'!B44,"-")</f>
        <v>-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78" t="str">
        <f>IF('AV 2'!C45="Às vezes",'AV 2'!B45,"-")</f>
        <v>-</v>
      </c>
      <c r="C45" s="78" t="str">
        <f>IF('AV 2'!C45="Não",'AV 2'!B45,"-")</f>
        <v>-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78" t="str">
        <f>IF('AV 2'!C46="Às vezes",'AV 2'!B46,"-")</f>
        <v>-</v>
      </c>
      <c r="C46" s="78" t="str">
        <f>IF('AV 2'!C46="Não",'AV 2'!B46,"-")</f>
        <v>-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78" t="str">
        <f>IF('AV 2'!C47="Às vezes",'AV 2'!B47,"-")</f>
        <v>-</v>
      </c>
      <c r="C47" s="78" t="str">
        <f>IF('AV 2'!C47="Não",'AV 2'!B47,"-")</f>
        <v>-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78" t="str">
        <f>IF('AV 2'!C48="Às vezes",'AV 2'!B48,"-")</f>
        <v>-</v>
      </c>
      <c r="C48" s="78" t="str">
        <f>IF('AV 2'!C48="Não",'AV 2'!B48,"-")</f>
        <v>-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78" t="str">
        <f>IF('AV 2'!C49="Às vezes",'AV 2'!B49,"-")</f>
        <v>-</v>
      </c>
      <c r="C49" s="78" t="str">
        <f>IF('AV 2'!C49="Não",'AV 2'!B49,"-")</f>
        <v>-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78" t="str">
        <f>IF('AV 2'!C50="Às vezes",'AV 2'!B50,"-")</f>
        <v>-</v>
      </c>
      <c r="C50" s="78" t="str">
        <f>IF('AV 2'!C50="Não",'AV 2'!B50,"-")</f>
        <v>-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78" t="str">
        <f>IF('AV 2'!C51="Às vezes",'AV 2'!B51,"-")</f>
        <v>-</v>
      </c>
      <c r="C51" s="78" t="str">
        <f>IF('AV 2'!C51="Não",'AV 2'!B51,"-")</f>
        <v>-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78" t="str">
        <f>IF('AV 2'!C52="Às vezes",'AV 2'!B52,"-")</f>
        <v>-</v>
      </c>
      <c r="C52" s="78" t="str">
        <f>IF('AV 2'!C52="Não",'AV 2'!B52,"-")</f>
        <v>-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78" t="str">
        <f>IF('AV 2'!C53="Às vezes",'AV 2'!B53,"-")</f>
        <v>-</v>
      </c>
      <c r="C53" s="78" t="str">
        <f>IF('AV 2'!C53="Não",'AV 2'!B53,"-")</f>
        <v>-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78" t="str">
        <f>IF('AV 2'!C54="Às vezes",'AV 2'!B54,"-")</f>
        <v>-</v>
      </c>
      <c r="C54" s="78" t="str">
        <f>IF('AV 2'!C54="Não",'AV 2'!B54,"-")</f>
        <v>-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78" t="str">
        <f>IF('AV 2'!C55="Às vezes",'AV 2'!B55,"-")</f>
        <v>-</v>
      </c>
      <c r="C55" s="78" t="str">
        <f>IF('AV 2'!C55="Não",'AV 2'!B55,"-")</f>
        <v>-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78" t="str">
        <f>IF('AV 2'!C56="Às vezes",'AV 2'!B56,"-")</f>
        <v>-</v>
      </c>
      <c r="C56" s="78" t="str">
        <f>IF('AV 2'!C56="Não",'AV 2'!B56,"-")</f>
        <v>-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78" t="str">
        <f>IF('AV 2'!C57="Às vezes",'AV 2'!B57,"-")</f>
        <v>-</v>
      </c>
      <c r="C57" s="78" t="str">
        <f>IF('AV 2'!C57="Não",'AV 2'!B57,"-")</f>
        <v>-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78" t="str">
        <f>IF('AV 2'!C58="Às vezes",'AV 2'!B58,"-")</f>
        <v>-</v>
      </c>
      <c r="C58" s="78" t="str">
        <f>IF('AV 2'!C58="Não",'AV 2'!B58,"-")</f>
        <v>-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78" t="str">
        <f>IF('AV 2'!C59="Às vezes",'AV 2'!B59,"-")</f>
        <v>-</v>
      </c>
      <c r="C59" s="78" t="str">
        <f>IF('AV 2'!C59="Não",'AV 2'!B59,"-")</f>
        <v>-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78" t="str">
        <f>IF('AV 2'!C60="Às vezes",'AV 2'!B60,"-")</f>
        <v>-</v>
      </c>
      <c r="C60" s="78" t="str">
        <f>IF('AV 2'!C60="Não",'AV 2'!B60,"-")</f>
        <v>-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8" t="str">
        <f>IF('AV 2'!C61="Às vezes",'AV 2'!B61,"-")</f>
        <v>-</v>
      </c>
      <c r="C61" s="78" t="str">
        <f>IF('AV 2'!C61="Não",'AV 2'!B61,"-")</f>
        <v>-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78" t="str">
        <f>IF('AV 2'!C62="Às vezes",'AV 2'!B62,"-")</f>
        <v>-</v>
      </c>
      <c r="C62" s="78" t="str">
        <f>IF('AV 2'!C62="Não",'AV 2'!B62,"-")</f>
        <v>-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8" t="str">
        <f>IF('AV 2'!C63="Às vezes",'AV 2'!B63,"-")</f>
        <v>-</v>
      </c>
      <c r="C63" s="78" t="str">
        <f>IF('AV 2'!C63="Não",'AV 2'!B63,"-")</f>
        <v>-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8" t="str">
        <f>IF('AV 2'!C64="Às vezes",'AV 2'!B64,"-")</f>
        <v>-</v>
      </c>
      <c r="C64" s="78" t="str">
        <f>IF('AV 2'!C64="Não",'AV 2'!B64,"-")</f>
        <v>-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8" t="str">
        <f>IF('AV 2'!C65="Às vezes",'AV 2'!B65,"-")</f>
        <v>-</v>
      </c>
      <c r="C65" s="78" t="str">
        <f>IF('AV 2'!C65="Não",'AV 2'!B65,"-")</f>
        <v>-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78" t="str">
        <f>IF('AV 2'!C66="Às vezes",'AV 2'!B66,"-")</f>
        <v>-</v>
      </c>
      <c r="C66" s="78" t="str">
        <f>IF('AV 2'!C66="Não",'AV 2'!B66,"-")</f>
        <v>-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78" t="str">
        <f>IF('AV 2'!C67="Às vezes",'AV 2'!B67,"-")</f>
        <v>-</v>
      </c>
      <c r="C67" s="78" t="str">
        <f>IF('AV 2'!C67="Não",'AV 2'!B67,"-")</f>
        <v>-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78" t="str">
        <f>IF('AV 2'!C68="Às vezes",'AV 2'!B68,"-")</f>
        <v>-</v>
      </c>
      <c r="C68" s="78" t="str">
        <f>IF('AV 2'!C68="Não",'AV 2'!B68,"-")</f>
        <v>-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78" t="str">
        <f>IF('AV 2'!C69="Às vezes",'AV 2'!B69,"-")</f>
        <v>-</v>
      </c>
      <c r="C69" s="78" t="str">
        <f>IF('AV 2'!C69="Não",'AV 2'!B69,"-")</f>
        <v>-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8" t="str">
        <f>IF('AV 2'!C70="Às vezes",'AV 2'!B70,"-")</f>
        <v>-</v>
      </c>
      <c r="C70" s="78" t="str">
        <f>IF('AV 2'!C70="Não",'AV 2'!B70,"-")</f>
        <v>-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8" t="str">
        <f>IF('AV 2'!C71="Às vezes",'AV 2'!B71,"-")</f>
        <v>-</v>
      </c>
      <c r="C71" s="78" t="str">
        <f>IF('AV 2'!C71="Não",'AV 2'!B71,"-")</f>
        <v>-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8" t="str">
        <f>IF('AV 2'!C72="Às vezes",'AV 2'!B72,"-")</f>
        <v>-</v>
      </c>
      <c r="C72" s="78" t="str">
        <f>IF('AV 2'!C72="Não",'AV 2'!B72,"-")</f>
        <v>-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8" t="str">
        <f>IF('AV 2'!C73="Às vezes",'AV 2'!B73,"-")</f>
        <v>-</v>
      </c>
      <c r="C73" s="78" t="str">
        <f>IF('AV 2'!C73="Não",'AV 2'!B73,"-")</f>
        <v>-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8" t="str">
        <f>IF('AV 2'!C74="Às vezes",'AV 2'!B74,"-")</f>
        <v>-</v>
      </c>
      <c r="C74" s="78" t="str">
        <f>IF('AV 2'!C74="Não",'AV 2'!B74,"-")</f>
        <v>-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8" t="str">
        <f>IF('AV 2'!C75="Às vezes",'AV 2'!B75,"-")</f>
        <v>-</v>
      </c>
      <c r="C75" s="78" t="str">
        <f>IF('AV 2'!C75="Não",'AV 2'!B75,"-")</f>
        <v>-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8" t="str">
        <f>IF('AV 2'!C76="Às vezes",'AV 2'!B76,"-")</f>
        <v>-</v>
      </c>
      <c r="C76" s="78" t="str">
        <f>IF('AV 2'!C76="Não",'AV 2'!B76,"-")</f>
        <v>-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8" t="str">
        <f>IF('AV 2'!C77="Às vezes",'AV 2'!B77,"-")</f>
        <v>-</v>
      </c>
      <c r="C77" s="78" t="str">
        <f>IF('AV 2'!C77="Não",'AV 2'!B77,"-")</f>
        <v>-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8" t="str">
        <f>IF('AV 2'!C78="Às vezes",'AV 2'!B78,"-")</f>
        <v>-</v>
      </c>
      <c r="C78" s="78" t="str">
        <f>IF('AV 2'!C78="Não",'AV 2'!B78,"-")</f>
        <v>-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8" t="str">
        <f>IF('AV 2'!C79="Às vezes",'AV 2'!B79,"-")</f>
        <v>-</v>
      </c>
      <c r="C79" s="78" t="str">
        <f>IF('AV 2'!C79="Não",'AV 2'!B79,"-")</f>
        <v>-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8" t="str">
        <f>IF('AV 2'!C80="Às vezes",'AV 2'!B80,"-")</f>
        <v>-</v>
      </c>
      <c r="C80" s="78" t="str">
        <f>IF('AV 2'!C80="Não",'AV 2'!B80,"-")</f>
        <v>-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8" t="str">
        <f>IF('AV 2'!C81="Às vezes",'AV 2'!B81,"-")</f>
        <v>-</v>
      </c>
      <c r="C81" s="78" t="str">
        <f>IF('AV 2'!C81="Não",'AV 2'!B81,"-")</f>
        <v>-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8" t="str">
        <f>IF('AV 2'!C82="Às vezes",'AV 2'!B82,"-")</f>
        <v>-</v>
      </c>
      <c r="C82" s="78" t="str">
        <f>IF('AV 2'!C82="Não",'AV 2'!B82,"-")</f>
        <v>-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8" t="str">
        <f>IF('AV 2'!C83="Às vezes",'AV 2'!B83,"-")</f>
        <v>-</v>
      </c>
      <c r="C83" s="78" t="str">
        <f>IF('AV 2'!C83="Não",'AV 2'!B83,"-")</f>
        <v>-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8" t="str">
        <f>IF('AV 2'!C84="Às vezes",'AV 2'!B84,"-")</f>
        <v>-</v>
      </c>
      <c r="C84" s="78" t="str">
        <f>IF('AV 2'!C84="Não",'AV 2'!B84,"-")</f>
        <v>-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8" t="str">
        <f>IF('AV 2'!C85="Às vezes",'AV 2'!B85,"-")</f>
        <v>-</v>
      </c>
      <c r="C85" s="78" t="str">
        <f>IF('AV 2'!C85="Não",'AV 2'!B85,"-")</f>
        <v>-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8" t="str">
        <f>IF('AV 2'!C86="Às vezes",'AV 2'!B86,"-")</f>
        <v>-</v>
      </c>
      <c r="C86" s="78" t="str">
        <f>IF('AV 2'!C86="Não",'AV 2'!B86,"-")</f>
        <v>-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8" t="str">
        <f>IF('AV 2'!C87="Às vezes",'AV 2'!B87,"-")</f>
        <v>-</v>
      </c>
      <c r="C87" s="78" t="str">
        <f>IF('AV 2'!C87="Não",'AV 2'!B87,"-")</f>
        <v>-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8" t="str">
        <f>IF('AV 2'!C88="Às vezes",'AV 2'!B88,"-")</f>
        <v>-</v>
      </c>
      <c r="C88" s="78" t="str">
        <f>IF('AV 2'!C88="Não",'AV 2'!B88,"-")</f>
        <v>-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8" t="str">
        <f>IF('AV 2'!C89="Às vezes",'AV 2'!B89,"-")</f>
        <v>-</v>
      </c>
      <c r="C89" s="78" t="str">
        <f>IF('AV 2'!C89="Não",'AV 2'!B89,"-")</f>
        <v>-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8" t="str">
        <f>IF('AV 2'!C90="Às vezes",'AV 2'!B90,"-")</f>
        <v>-</v>
      </c>
      <c r="C90" s="78" t="str">
        <f>IF('AV 2'!C90="Não",'AV 2'!B90,"-")</f>
        <v>-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8" t="str">
        <f>IF('AV 2'!C91="Às vezes",'AV 2'!B91,"-")</f>
        <v>-</v>
      </c>
      <c r="C91" s="78" t="str">
        <f>IF('AV 2'!C91="Não",'AV 2'!B91,"-")</f>
        <v>-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8" t="str">
        <f>IF('AV 2'!C92="Às vezes",'AV 2'!B92,"-")</f>
        <v>-</v>
      </c>
      <c r="C92" s="78" t="str">
        <f>IF('AV 2'!C92="Não",'AV 2'!B92,"-")</f>
        <v>-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8" t="str">
        <f>IF('AV 2'!C93="Às vezes",'AV 2'!B93,"-")</f>
        <v>-</v>
      </c>
      <c r="C93" s="78" t="str">
        <f>IF('AV 2'!C93="Não",'AV 2'!B93,"-")</f>
        <v>-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8" t="str">
        <f>IF('AV 2'!C94="Às vezes",'AV 2'!B94,"-")</f>
        <v>-</v>
      </c>
      <c r="C94" s="78" t="str">
        <f>IF('AV 2'!C94="Não",'AV 2'!B94,"-")</f>
        <v>-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8" t="str">
        <f>IF('AV 2'!C95="Às vezes",'AV 2'!B95,"-")</f>
        <v>-</v>
      </c>
      <c r="C95" s="78" t="str">
        <f>IF('AV 2'!C95="Não",'AV 2'!B95,"-")</f>
        <v>-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8" t="str">
        <f>IF('AV 2'!C96="Às vezes",'AV 2'!B96,"-")</f>
        <v>-</v>
      </c>
      <c r="C96" s="78" t="str">
        <f>IF('AV 2'!C96="Não",'AV 2'!B96,"-")</f>
        <v>-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8" t="str">
        <f>IF('AV 2'!C97="Às vezes",'AV 2'!B97,"-")</f>
        <v>-</v>
      </c>
      <c r="C97" s="78" t="str">
        <f>IF('AV 2'!C97="Não",'AV 2'!B97,"-")</f>
        <v>-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8" t="str">
        <f>IF('AV 2'!C98="Às vezes",'AV 2'!B98,"-")</f>
        <v>-</v>
      </c>
      <c r="C98" s="78" t="str">
        <f>IF('AV 2'!C98="Não",'AV 2'!B98,"-")</f>
        <v>-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8" t="str">
        <f>IF('AV 2'!C99="Às vezes",'AV 2'!B99,"-")</f>
        <v>-</v>
      </c>
      <c r="C99" s="78" t="str">
        <f>IF('AV 2'!C99="Não",'AV 2'!B99,"-")</f>
        <v>-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8" t="str">
        <f>IF('AV 2'!C100="Às vezes",'AV 2'!B100,"-")</f>
        <v>-</v>
      </c>
      <c r="C100" s="78" t="str">
        <f>IF('AV 2'!C100="Não",'AV 2'!B100,"-")</f>
        <v>-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8" t="str">
        <f>IF('AV 2'!C101="Às vezes",'AV 2'!B101,"-")</f>
        <v>-</v>
      </c>
      <c r="C101" s="78" t="str">
        <f>IF('AV 2'!C101="Não",'AV 2'!B101,"-")</f>
        <v>-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8" t="str">
        <f>IF('AV 2'!C102="Às vezes",'AV 2'!B102,"-")</f>
        <v>-</v>
      </c>
      <c r="C102" s="78" t="str">
        <f>IF('AV 2'!C102="Não",'AV 2'!B102,"-")</f>
        <v>-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8" t="str">
        <f>IF('AV 2'!C103="Às vezes",'AV 2'!B103,"-")</f>
        <v>-</v>
      </c>
      <c r="C103" s="78" t="str">
        <f>IF('AV 2'!C103="Não",'AV 2'!B103,"-")</f>
        <v>-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8" t="str">
        <f>IF('AV 2'!C104="Às vezes",'AV 2'!B104,"-")</f>
        <v>-</v>
      </c>
      <c r="C104" s="78" t="str">
        <f>IF('AV 2'!C104="Não",'AV 2'!B104,"-")</f>
        <v>-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8" t="str">
        <f>IF('AV 2'!C105="Às vezes",'AV 2'!B105,"-")</f>
        <v>-</v>
      </c>
      <c r="C105" s="78" t="str">
        <f>IF('AV 2'!C105="Não",'AV 2'!B105,"-")</f>
        <v>-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9" t="s">
        <v>10</v>
      </c>
      <c r="C106" s="79" t="s">
        <v>10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8" t="str">
        <f>IF('AV 2'!F13="Às vezes",'AV 2'!E13,"-")</f>
        <v>-</v>
      </c>
      <c r="C107" s="69" t="str">
        <f>IF('AV 2'!F13="Não",'AV 2'!E13,"-")</f>
        <v>-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8" t="str">
        <f>IF('AV 2'!F14="Às vezes",'AV 2'!E14,"-")</f>
        <v>-</v>
      </c>
      <c r="C108" s="69" t="str">
        <f>IF('AV 2'!F14="Não",'AV 2'!E14,"-")</f>
        <v>-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8" t="str">
        <f>IF('AV 2'!F15="Às vezes",'AV 2'!E15,"-")</f>
        <v>-</v>
      </c>
      <c r="C109" s="69" t="str">
        <f>IF('AV 2'!F15="Não",'AV 2'!E15,"-")</f>
        <v>-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8" t="str">
        <f>IF('AV 2'!F16="Às vezes",'AV 2'!E16,"-")</f>
        <v>-</v>
      </c>
      <c r="C110" s="69" t="str">
        <f>IF('AV 2'!F16="Não",'AV 2'!E16,"-")</f>
        <v>-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8" t="str">
        <f>IF('AV 2'!F17="Às vezes",'AV 2'!E17,"-")</f>
        <v>-</v>
      </c>
      <c r="C111" s="69" t="str">
        <f>IF('AV 2'!F17="Não",'AV 2'!E17,"-")</f>
        <v>-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8" t="str">
        <f>IF('AV 2'!F18="Às vezes",'AV 2'!E18,"-")</f>
        <v>-</v>
      </c>
      <c r="C112" s="69" t="str">
        <f>IF('AV 2'!F18="Não",'AV 2'!E18,"-")</f>
        <v>-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8" t="str">
        <f>IF('AV 2'!F19="Às vezes",'AV 2'!E19,"-")</f>
        <v>-</v>
      </c>
      <c r="C113" s="69" t="str">
        <f>IF('AV 2'!F19="Não",'AV 2'!E19,"-")</f>
        <v>-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8" t="str">
        <f>IF('AV 2'!F20="Às vezes",'AV 2'!E20,"-")</f>
        <v>-</v>
      </c>
      <c r="C114" s="69" t="str">
        <f>IF('AV 2'!F20="Não",'AV 2'!E20,"-")</f>
        <v>-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8" t="str">
        <f>IF('AV 2'!F21="Às vezes",'AV 2'!E21,"-")</f>
        <v>-</v>
      </c>
      <c r="C115" s="69" t="str">
        <f>IF('AV 2'!F21="Não",'AV 2'!E21,"-")</f>
        <v>-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8" t="str">
        <f>IF('AV 2'!F22="Às vezes",'AV 2'!E22,"-")</f>
        <v>-</v>
      </c>
      <c r="C116" s="69" t="str">
        <f>IF('AV 2'!F22="Não",'AV 2'!E22,"-")</f>
        <v>-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8" t="str">
        <f>IF('AV 2'!F23="Às vezes",'AV 2'!E23,"-")</f>
        <v>-</v>
      </c>
      <c r="C117" s="69" t="str">
        <f>IF('AV 2'!F23="Não",'AV 2'!E23,"-")</f>
        <v>-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8" t="str">
        <f>IF('AV 2'!F24="Às vezes",'AV 2'!E24,"-")</f>
        <v>-</v>
      </c>
      <c r="C118" s="69" t="str">
        <f>IF('AV 2'!F24="Não",'AV 2'!E24,"-")</f>
        <v>-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3.0" customHeight="1">
      <c r="A119" s="1"/>
      <c r="B119" s="78" t="str">
        <f>IF('AV 2'!F25="Às vezes",'AV 2'!E25,"-")</f>
        <v>-</v>
      </c>
      <c r="C119" s="69" t="str">
        <f>IF('AV 2'!F25="Não",'AV 2'!E25,"-")</f>
        <v>-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8" t="str">
        <f>IF('AV 2'!F26="Às vezes",'AV 2'!E26,"-")</f>
        <v>-</v>
      </c>
      <c r="C120" s="69" t="str">
        <f>IF('AV 2'!F26="Não",'AV 2'!E26,"-")</f>
        <v>-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8" t="str">
        <f>IF('AV 2'!F27="Às vezes",'AV 2'!E27,"-")</f>
        <v>-</v>
      </c>
      <c r="C121" s="69" t="str">
        <f>IF('AV 2'!F27="Não",'AV 2'!E27,"-")</f>
        <v>-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8" t="str">
        <f>IF('AV 2'!F28="Às vezes",'AV 2'!E28,"-")</f>
        <v>-</v>
      </c>
      <c r="C122" s="69" t="str">
        <f>IF('AV 2'!F28="Não",'AV 2'!E28,"-")</f>
        <v>-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8" t="str">
        <f>IF('AV 2'!F29="Às vezes",'AV 2'!E29,"-")</f>
        <v>-</v>
      </c>
      <c r="C123" s="69" t="str">
        <f>IF('AV 2'!F29="Não",'AV 2'!E29,"-")</f>
        <v>-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8" t="str">
        <f>IF('AV 2'!F30="Às vezes",'AV 2'!E30,"-")</f>
        <v>-</v>
      </c>
      <c r="C124" s="69" t="str">
        <f>IF('AV 2'!F30="Não",'AV 2'!E30,"-")</f>
        <v>-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8" t="str">
        <f>IF('AV 2'!F31="Às vezes",'AV 2'!E31,"-")</f>
        <v>-</v>
      </c>
      <c r="C125" s="69" t="str">
        <f>IF('AV 2'!F31="Não",'AV 2'!E31,"-")</f>
        <v>-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78" t="str">
        <f>IF('AV 2'!F32="Às vezes",'AV 2'!E32,"-")</f>
        <v>-</v>
      </c>
      <c r="C126" s="69" t="str">
        <f>IF('AV 2'!F32="Não",'AV 2'!E32,"-")</f>
        <v>-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8" t="str">
        <f>IF('AV 2'!F33="Às vezes",'AV 2'!E33,"-")</f>
        <v>-</v>
      </c>
      <c r="C127" s="69" t="str">
        <f>IF('AV 2'!F33="Não",'AV 2'!E33,"-")</f>
        <v>-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8" t="str">
        <f>IF('AV 2'!F34="Às vezes",'AV 2'!E34,"-")</f>
        <v>-</v>
      </c>
      <c r="C128" s="69" t="str">
        <f>IF('AV 2'!F34="Não",'AV 2'!E34,"-")</f>
        <v>-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8" t="str">
        <f>IF('AV 2'!F35="Às vezes",'AV 2'!E35,"-")</f>
        <v>-</v>
      </c>
      <c r="C129" s="69" t="str">
        <f>IF('AV 2'!F35="Não",'AV 2'!E35,"-")</f>
        <v>-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8" t="str">
        <f>IF('AV 2'!F36="Às vezes",'AV 2'!E36,"-")</f>
        <v>-</v>
      </c>
      <c r="C130" s="69" t="str">
        <f>IF('AV 2'!F36="Não",'AV 2'!E36,"-")</f>
        <v>-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78" t="str">
        <f>IF('AV 2'!F37="Às vezes",'AV 2'!E37,"-")</f>
        <v>-</v>
      </c>
      <c r="C131" s="69" t="str">
        <f>IF('AV 2'!F37="Não",'AV 2'!E37,"-")</f>
        <v>-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78" t="str">
        <f>IF('AV 2'!F38="Às vezes",'AV 2'!E38,"-")</f>
        <v>-</v>
      </c>
      <c r="C132" s="69" t="str">
        <f>IF('AV 2'!F38="Não",'AV 2'!E38,"-")</f>
        <v>-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8" t="str">
        <f>IF('AV 2'!F39="Às vezes",'AV 2'!E39,"-")</f>
        <v>-</v>
      </c>
      <c r="C133" s="69" t="str">
        <f>IF('AV 2'!F39="Não",'AV 2'!E39,"-")</f>
        <v>-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47.25" customHeight="1">
      <c r="A134" s="1"/>
      <c r="B134" s="78" t="str">
        <f>IF('AV 2'!F40="Às vezes",'AV 2'!E40,"-")</f>
        <v>-</v>
      </c>
      <c r="C134" s="69" t="str">
        <f>IF('AV 2'!F40="Não",'AV 2'!E40,"-")</f>
        <v>-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78" t="str">
        <f>IF('AV 2'!F41="Às vezes",'AV 2'!E41,"-")</f>
        <v>-</v>
      </c>
      <c r="C135" s="69" t="str">
        <f>IF('AV 2'!F41="Não",'AV 2'!E41,"-")</f>
        <v>-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78" t="str">
        <f>IF('AV 2'!F42="Às vezes",'AV 2'!E42,"-")</f>
        <v>-</v>
      </c>
      <c r="C136" s="69" t="str">
        <f>IF('AV 2'!F42="Não",'AV 2'!E42,"-")</f>
        <v>-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78" t="str">
        <f>IF('AV 2'!F43="Às vezes",'AV 2'!E43,"-")</f>
        <v>-</v>
      </c>
      <c r="C137" s="69" t="str">
        <f>IF('AV 2'!F43="Não",'AV 2'!E43,"-")</f>
        <v>-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78" t="str">
        <f>IF('AV 2'!F44="Às vezes",'AV 2'!E44,"-")</f>
        <v>-</v>
      </c>
      <c r="C138" s="69" t="str">
        <f>IF('AV 2'!F44="Não",'AV 2'!E44,"-")</f>
        <v>-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78" t="str">
        <f>IF('AV 2'!F45="Às vezes",'AV 2'!E45,"-")</f>
        <v>-</v>
      </c>
      <c r="C139" s="69" t="str">
        <f>IF('AV 2'!F45="Não",'AV 2'!E45,"-")</f>
        <v>-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78" t="str">
        <f>IF('AV 2'!F46="Às vezes",'AV 2'!E46,"-")</f>
        <v>-</v>
      </c>
      <c r="C140" s="69" t="str">
        <f>IF('AV 2'!F46="Não",'AV 2'!E46,"-")</f>
        <v>-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78" t="str">
        <f>IF('AV 2'!F47="Às vezes",'AV 2'!E47,"-")</f>
        <v>-</v>
      </c>
      <c r="C141" s="69" t="str">
        <f>IF('AV 2'!F47="Não",'AV 2'!E47,"-")</f>
        <v>-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78" t="str">
        <f>IF('AV 2'!F48="Às vezes",'AV 2'!E48,"-")</f>
        <v>-</v>
      </c>
      <c r="C142" s="69" t="str">
        <f>IF('AV 2'!F48="Não",'AV 2'!E48,"-")</f>
        <v>-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78" t="str">
        <f>IF('AV 2'!F49="Às vezes",'AV 2'!E49,"-")</f>
        <v>-</v>
      </c>
      <c r="C143" s="69" t="str">
        <f>IF('AV 2'!F49="Não",'AV 2'!E49,"-")</f>
        <v>-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78" t="str">
        <f>IF('AV 2'!F50="Às vezes",'AV 2'!E50,"-")</f>
        <v>-</v>
      </c>
      <c r="C144" s="69" t="str">
        <f>IF('AV 2'!F50="Não",'AV 2'!E50,"-")</f>
        <v>-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78" t="str">
        <f>IF('AV 2'!F51="Às vezes",'AV 2'!E51,"-")</f>
        <v>-</v>
      </c>
      <c r="C145" s="69" t="str">
        <f>IF('AV 2'!F51="Não",'AV 2'!E51,"-")</f>
        <v>-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78" t="str">
        <f>IF('AV 2'!F52="Às vezes",'AV 2'!E52,"-")</f>
        <v>-</v>
      </c>
      <c r="C146" s="69" t="str">
        <f>IF('AV 2'!F52="Não",'AV 2'!E52,"-")</f>
        <v>-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78" t="str">
        <f>IF('AV 2'!F53="Às vezes",'AV 2'!E53,"-")</f>
        <v>-</v>
      </c>
      <c r="C147" s="69" t="str">
        <f>IF('AV 2'!F53="Não",'AV 2'!E53,"-")</f>
        <v>-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78" t="str">
        <f>IF('AV 2'!F54="Às vezes",'AV 2'!E54,"-")</f>
        <v>-</v>
      </c>
      <c r="C148" s="69" t="str">
        <f>IF('AV 2'!F54="Não",'AV 2'!E54,"-")</f>
        <v>-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78" t="str">
        <f>IF('AV 2'!F55="Às vezes",'AV 2'!E55,"-")</f>
        <v>-</v>
      </c>
      <c r="C149" s="69" t="str">
        <f>IF('AV 2'!F55="Não",'AV 2'!E55,"-")</f>
        <v>-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78" t="str">
        <f>IF('AV 2'!F56="Às vezes",'AV 2'!E56,"-")</f>
        <v>-</v>
      </c>
      <c r="C150" s="69" t="str">
        <f>IF('AV 2'!F56="Não",'AV 2'!E56,"-")</f>
        <v>-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78" t="str">
        <f>IF('AV 2'!F57="Às vezes",'AV 2'!E57,"-")</f>
        <v>-</v>
      </c>
      <c r="C151" s="69" t="str">
        <f>IF('AV 2'!F57="Não",'AV 2'!E57,"-")</f>
        <v>-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78" t="str">
        <f>IF('AV 2'!F58="Às vezes",'AV 2'!E58,"-")</f>
        <v>-</v>
      </c>
      <c r="C152" s="69" t="str">
        <f>IF('AV 2'!F58="Não",'AV 2'!E58,"-")</f>
        <v>-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78" t="str">
        <f>IF('AV 2'!F59="Às vezes",'AV 2'!E59,"-")</f>
        <v>-</v>
      </c>
      <c r="C153" s="69" t="str">
        <f>IF('AV 2'!F59="Não",'AV 2'!E59,"-")</f>
        <v>-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78" t="str">
        <f>IF('AV 2'!F60="Às vezes",'AV 2'!E60,"-")</f>
        <v>-</v>
      </c>
      <c r="C154" s="69" t="str">
        <f>IF('AV 2'!F60="Não",'AV 2'!E60,"-")</f>
        <v>-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78" t="str">
        <f>IF('AV 2'!F61="Às vezes",'AV 2'!E61,"-")</f>
        <v>-</v>
      </c>
      <c r="C155" s="69" t="str">
        <f>IF('AV 2'!F61="Não",'AV 2'!E61,"-")</f>
        <v>-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78" t="str">
        <f>IF('AV 2'!F62="Às vezes",'AV 2'!E62,"-")</f>
        <v>-</v>
      </c>
      <c r="C156" s="69" t="str">
        <f>IF('AV 2'!F62="Não",'AV 2'!E62,"-")</f>
        <v>-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78" t="str">
        <f>IF('AV 2'!F63="Às vezes",'AV 2'!E63,"-")</f>
        <v>-</v>
      </c>
      <c r="C157" s="69" t="str">
        <f>IF('AV 2'!F63="Não",'AV 2'!E63,"-")</f>
        <v>-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78" t="str">
        <f>IF('AV 2'!F64="Às vezes",'AV 2'!E64,"-")</f>
        <v>-</v>
      </c>
      <c r="C158" s="69" t="str">
        <f>IF('AV 2'!F64="Não",'AV 2'!E64,"-")</f>
        <v>-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78" t="str">
        <f>IF('AV 2'!F65="Às vezes",'AV 2'!E65,"-")</f>
        <v>-</v>
      </c>
      <c r="C159" s="69" t="str">
        <f>IF('AV 2'!F65="Não",'AV 2'!E65,"-")</f>
        <v>-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78" t="str">
        <f>IF('AV 2'!F66="Às vezes",'AV 2'!E66,"-")</f>
        <v>-</v>
      </c>
      <c r="C160" s="69" t="str">
        <f>IF('AV 2'!F66="Não",'AV 2'!E66,"-")</f>
        <v>-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78" t="str">
        <f>IF('AV 2'!F67="Às vezes",'AV 2'!E67,"-")</f>
        <v>-</v>
      </c>
      <c r="C161" s="69" t="str">
        <f>IF('AV 2'!F67="Não",'AV 2'!E67,"-")</f>
        <v>-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78" t="str">
        <f>IF('AV 2'!F68="Às vezes",'AV 2'!E68,"-")</f>
        <v>-</v>
      </c>
      <c r="C162" s="69" t="str">
        <f>IF('AV 2'!F68="Não",'AV 2'!E68,"-")</f>
        <v>-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78" t="str">
        <f>IF('AV 2'!F69="Às vezes",'AV 2'!E69,"-")</f>
        <v>-</v>
      </c>
      <c r="C163" s="69" t="str">
        <f>IF('AV 2'!F69="Não",'AV 2'!E69,"-")</f>
        <v>-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78" t="str">
        <f>IF('AV 2'!F70="Às vezes",'AV 2'!E70,"-")</f>
        <v>-</v>
      </c>
      <c r="C164" s="69" t="str">
        <f>IF('AV 2'!F70="Não",'AV 2'!E70,"-")</f>
        <v>-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78" t="str">
        <f>IF('AV 2'!F71="Às vezes",'AV 2'!E71,"-")</f>
        <v>-</v>
      </c>
      <c r="C165" s="69" t="str">
        <f>IF('AV 2'!F71="Não",'AV 2'!E71,"-")</f>
        <v>-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78" t="str">
        <f>IF('AV 2'!F72="Às vezes",'AV 2'!E72,"-")</f>
        <v>-</v>
      </c>
      <c r="C166" s="69" t="str">
        <f>IF('AV 2'!F72="Não",'AV 2'!E72,"-")</f>
        <v>-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78" t="str">
        <f>IF('AV 2'!F73="Às vezes",'AV 2'!E73,"-")</f>
        <v>-</v>
      </c>
      <c r="C167" s="69" t="str">
        <f>IF('AV 2'!F73="Não",'AV 2'!E73,"-")</f>
        <v>-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78" t="str">
        <f>IF('AV 2'!F74="Às vezes",'AV 2'!E74,"-")</f>
        <v>-</v>
      </c>
      <c r="C168" s="69" t="str">
        <f>IF('AV 2'!F74="Não",'AV 2'!E74,"-")</f>
        <v>-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78" t="str">
        <f>IF('AV 2'!F75="Às vezes",'AV 2'!E75,"-")</f>
        <v>-</v>
      </c>
      <c r="C169" s="69" t="str">
        <f>IF('AV 2'!F75="Não",'AV 2'!E75,"-")</f>
        <v>-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78" t="str">
        <f>IF('AV 2'!F76="Às vezes",'AV 2'!E76,"-")</f>
        <v>-</v>
      </c>
      <c r="C170" s="69" t="str">
        <f>IF('AV 2'!F76="Não",'AV 2'!E76,"-")</f>
        <v>-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78" t="str">
        <f>IF('AV 2'!F77="Às vezes",'AV 2'!E77,"-")</f>
        <v>-</v>
      </c>
      <c r="C171" s="69" t="str">
        <f>IF('AV 2'!F77="Não",'AV 2'!E77,"-")</f>
        <v>-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78" t="str">
        <f>IF('AV 2'!F78="Às vezes",'AV 2'!E78,"-")</f>
        <v>-</v>
      </c>
      <c r="C172" s="69" t="str">
        <f>IF('AV 2'!F78="Não",'AV 2'!E78,"-")</f>
        <v>-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78" t="str">
        <f>IF('AV 2'!F79="Às vezes",'AV 2'!E79,"-")</f>
        <v>-</v>
      </c>
      <c r="C173" s="69" t="str">
        <f>IF('AV 2'!F79="Não",'AV 2'!E79,"-")</f>
        <v>-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78" t="str">
        <f>IF('AV 2'!F80="Às vezes",'AV 2'!E80,"-")</f>
        <v>-</v>
      </c>
      <c r="C174" s="69" t="str">
        <f>IF('AV 2'!F80="Não",'AV 2'!E80,"-")</f>
        <v>-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78" t="str">
        <f>IF('AV 2'!F81="Às vezes",'AV 2'!E81,"-")</f>
        <v>-</v>
      </c>
      <c r="C175" s="69" t="str">
        <f>IF('AV 2'!F81="Não",'AV 2'!E81,"-")</f>
        <v>-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78" t="str">
        <f>IF('AV 2'!F82="Às vezes",'AV 2'!E82,"-")</f>
        <v>-</v>
      </c>
      <c r="C176" s="69" t="str">
        <f>IF('AV 2'!F82="Não",'AV 2'!E82,"-")</f>
        <v>-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78" t="str">
        <f>IF('AV 2'!F83="Às vezes",'AV 2'!E83,"-")</f>
        <v>-</v>
      </c>
      <c r="C177" s="69" t="str">
        <f>IF('AV 2'!F83="Não",'AV 2'!E83,"-")</f>
        <v>-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78" t="str">
        <f>IF('AV 2'!F84="Às vezes",'AV 2'!E84,"-")</f>
        <v>-</v>
      </c>
      <c r="C178" s="69" t="str">
        <f>IF('AV 2'!F84="Não",'AV 2'!E84,"-")</f>
        <v>-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78" t="str">
        <f>IF('AV 2'!F85="Às vezes",'AV 2'!E85,"-")</f>
        <v>-</v>
      </c>
      <c r="C179" s="69" t="str">
        <f>IF('AV 2'!F85="Não",'AV 2'!E85,"-")</f>
        <v>-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78" t="str">
        <f>IF('AV 2'!F86="Às vezes",'AV 2'!E86,"-")</f>
        <v>-</v>
      </c>
      <c r="C180" s="69" t="str">
        <f>IF('AV 2'!F86="Não",'AV 2'!E86,"-")</f>
        <v>-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78" t="str">
        <f>IF('AV 2'!F87="Às vezes",'AV 2'!E87,"-")</f>
        <v>-</v>
      </c>
      <c r="C181" s="69" t="str">
        <f>IF('AV 2'!F87="Não",'AV 2'!E87,"-")</f>
        <v>-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78" t="str">
        <f>IF('AV 2'!F88="Às vezes",'AV 2'!E88,"-")</f>
        <v>-</v>
      </c>
      <c r="C182" s="69" t="str">
        <f>IF('AV 2'!F88="Não",'AV 2'!E88,"-")</f>
        <v>-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78" t="str">
        <f>IF('AV 2'!F89="Às vezes",'AV 2'!E89,"-")</f>
        <v>-</v>
      </c>
      <c r="C183" s="69" t="str">
        <f>IF('AV 2'!F89="Não",'AV 2'!E89,"-")</f>
        <v>-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78" t="str">
        <f>IF('AV 2'!F90="Às vezes",'AV 2'!E90,"-")</f>
        <v>-</v>
      </c>
      <c r="C184" s="69" t="str">
        <f>IF('AV 2'!F90="Não",'AV 2'!E90,"-")</f>
        <v>-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78" t="str">
        <f>IF('AV 2'!F91="Às vezes",'AV 2'!E91,"-")</f>
        <v>-</v>
      </c>
      <c r="C185" s="69" t="str">
        <f>IF('AV 2'!F91="Não",'AV 2'!E91,"-")</f>
        <v>-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78" t="str">
        <f>IF('AV 2'!F92="Às vezes",'AV 2'!E92,"-")</f>
        <v>-</v>
      </c>
      <c r="C186" s="69" t="str">
        <f>IF('AV 2'!F92="Não",'AV 2'!E92,"-")</f>
        <v>-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78" t="str">
        <f>IF('AV 2'!F93="Às vezes",'AV 2'!E93,"-")</f>
        <v>-</v>
      </c>
      <c r="C187" s="69" t="str">
        <f>IF('AV 2'!F93="Não",'AV 2'!E93,"-")</f>
        <v>-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78" t="str">
        <f>IF('AV 2'!F94="Às vezes",'AV 2'!E94,"-")</f>
        <v>-</v>
      </c>
      <c r="C188" s="69" t="str">
        <f>IF('AV 2'!F94="Não",'AV 2'!E94,"-")</f>
        <v>-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78" t="str">
        <f>IF('AV 2'!F95="Às vezes",'AV 2'!E95,"-")</f>
        <v>-</v>
      </c>
      <c r="C189" s="69" t="str">
        <f>IF('AV 2'!F95="Não",'AV 2'!E95,"-")</f>
        <v>-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78" t="str">
        <f>IF('AV 2'!F96="Às vezes",'AV 2'!E96,"-")</f>
        <v>-</v>
      </c>
      <c r="C190" s="69" t="str">
        <f>IF('AV 2'!F96="Não",'AV 2'!E96,"-")</f>
        <v>-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78" t="str">
        <f>IF('AV 2'!F97="Às vezes",'AV 2'!E97,"-")</f>
        <v>-</v>
      </c>
      <c r="C191" s="69" t="str">
        <f>IF('AV 2'!F97="Não",'AV 2'!E97,"-")</f>
        <v>-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78" t="str">
        <f>IF('AV 2'!F98="Às vezes",'AV 2'!E98,"-")</f>
        <v>-</v>
      </c>
      <c r="C192" s="69" t="str">
        <f>IF('AV 2'!F98="Não",'AV 2'!E98,"-")</f>
        <v>-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78" t="str">
        <f>IF('AV 2'!F99="Às vezes",'AV 2'!E99,"-")</f>
        <v>-</v>
      </c>
      <c r="C193" s="69" t="str">
        <f>IF('AV 2'!F99="Não",'AV 2'!E99,"-")</f>
        <v>-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78" t="str">
        <f>IF('AV 2'!F100="Às vezes",'AV 2'!E100,"-")</f>
        <v>-</v>
      </c>
      <c r="C194" s="69" t="str">
        <f>IF('AV 2'!F100="Não",'AV 2'!E100,"-")</f>
        <v>-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78" t="str">
        <f>IF('AV 2'!F101="Às vezes",'AV 2'!E101,"-")</f>
        <v>-</v>
      </c>
      <c r="C195" s="69" t="str">
        <f>IF('AV 2'!F101="Não",'AV 2'!E101,"-")</f>
        <v>-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78" t="str">
        <f>IF('AV 2'!F102="Às vezes",'AV 2'!E102,"-")</f>
        <v>-</v>
      </c>
      <c r="C196" s="69" t="str">
        <f>IF('AV 2'!F102="Não",'AV 2'!E102,"-")</f>
        <v>-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78" t="str">
        <f>IF('AV 2'!F103="Às vezes",'AV 2'!E103,"-")</f>
        <v>-</v>
      </c>
      <c r="C197" s="69" t="str">
        <f>IF('AV 2'!F103="Não",'AV 2'!E103,"-")</f>
        <v>-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78" t="str">
        <f>IF('AV 2'!F104="Às vezes",'AV 2'!E104,"-")</f>
        <v>-</v>
      </c>
      <c r="C198" s="69" t="str">
        <f>IF('AV 2'!F104="Não",'AV 2'!E104,"-")</f>
        <v>-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78" t="str">
        <f>IF('AV 2'!F105="Às vezes",'AV 2'!E105,"-")</f>
        <v>-</v>
      </c>
      <c r="C199" s="69" t="str">
        <f>IF('AV 2'!F105="Não",'AV 2'!E105,"-")</f>
        <v>-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78" t="str">
        <f>IF('AV 2'!F106="Às vezes",'AV 2'!E106,"-")</f>
        <v>-</v>
      </c>
      <c r="C200" s="69" t="str">
        <f>IF('AV 2'!F106="Não",'AV 2'!E106,"-")</f>
        <v>-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78" t="str">
        <f>IF('AV 2'!F107="Às vezes",'AV 2'!E107,"-")</f>
        <v>-</v>
      </c>
      <c r="C201" s="69" t="str">
        <f>IF('AV 2'!F107="Não",'AV 2'!E107,"-")</f>
        <v>-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78" t="str">
        <f>IF('AV 2'!F108="Às vezes",'AV 2'!E108,"-")</f>
        <v>-</v>
      </c>
      <c r="C202" s="69" t="str">
        <f>IF('AV 2'!F108="Não",'AV 2'!E108,"-")</f>
        <v>-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78" t="str">
        <f>IF('AV 2'!F109="Às vezes",'AV 2'!E109,"-")</f>
        <v>-</v>
      </c>
      <c r="C203" s="69" t="str">
        <f>IF('AV 2'!F109="Não",'AV 2'!E109,"-")</f>
        <v>-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78" t="str">
        <f>IF('AV 2'!F110="Às vezes",'AV 2'!E110,"-")</f>
        <v>-</v>
      </c>
      <c r="C204" s="69" t="str">
        <f>IF('AV 2'!F110="Não",'AV 2'!E110,"-")</f>
        <v>-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78" t="str">
        <f>IF('AV 2'!F111="Às vezes",'AV 2'!E111,"-")</f>
        <v>-</v>
      </c>
      <c r="C205" s="69" t="str">
        <f>IF('AV 2'!F111="Não",'AV 2'!E111,"-")</f>
        <v>-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78" t="str">
        <f>IF('AV 2'!F112="Às vezes",'AV 2'!E112,"-")</f>
        <v>-</v>
      </c>
      <c r="C206" s="69" t="str">
        <f>IF('AV 2'!F112="Não",'AV 2'!E112,"-")</f>
        <v>-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78" t="str">
        <f>IF('AV 2'!F113="Às vezes",'AV 2'!E113,"-")</f>
        <v>-</v>
      </c>
      <c r="C207" s="69" t="str">
        <f>IF('AV 2'!F113="Não",'AV 2'!E113,"-")</f>
        <v>-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78" t="str">
        <f>IF('AV 2'!F114="Às vezes",'AV 2'!E114,"-")</f>
        <v>-</v>
      </c>
      <c r="C208" s="69" t="str">
        <f>IF('AV 2'!F114="Não",'AV 2'!E114,"-")</f>
        <v>-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78" t="str">
        <f>IF('AV 2'!F115="Às vezes",'AV 2'!E115,"-")</f>
        <v>-</v>
      </c>
      <c r="C209" s="69" t="str">
        <f>IF('AV 2'!F115="Não",'AV 2'!E115,"-")</f>
        <v>-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78" t="str">
        <f>IF('AV 2'!F116="Às vezes",'AV 2'!E116,"-")</f>
        <v>-</v>
      </c>
      <c r="C210" s="69" t="str">
        <f>IF('AV 2'!F116="Não",'AV 2'!E116,"-")</f>
        <v>-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78" t="str">
        <f>IF('AV 2'!F117="Às vezes",'AV 2'!E117,"-")</f>
        <v>-</v>
      </c>
      <c r="C211" s="69" t="str">
        <f>IF('AV 2'!F117="Não",'AV 2'!E117,"-")</f>
        <v>-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78" t="str">
        <f>IF('AV 2'!F118="Às vezes",'AV 2'!E118,"-")</f>
        <v>-</v>
      </c>
      <c r="C212" s="69" t="str">
        <f>IF('AV 2'!F118="Não",'AV 2'!E118,"-")</f>
        <v>-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78" t="str">
        <f>IF('AV 2'!F119="Às vezes",'AV 2'!E119,"-")</f>
        <v>-</v>
      </c>
      <c r="C213" s="69" t="str">
        <f>IF('AV 2'!F119="Não",'AV 2'!E119,"-")</f>
        <v>-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78" t="str">
        <f>IF('AV 2'!F120="Às vezes",'AV 2'!E120,"-")</f>
        <v>-</v>
      </c>
      <c r="C214" s="69" t="str">
        <f>IF('AV 2'!F120="Não",'AV 2'!E120,"-")</f>
        <v>-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78" t="str">
        <f>IF('AV 2'!F121="Às vezes",'AV 2'!E121,"-")</f>
        <v>-</v>
      </c>
      <c r="C215" s="69" t="str">
        <f>IF('AV 2'!F121="Não",'AV 2'!E121,"-")</f>
        <v>-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79" t="s">
        <v>11</v>
      </c>
      <c r="C216" s="79" t="s">
        <v>11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80" t="str">
        <f>IF('AV 2'!I13="Às vezes",'AV 2'!H13,"-")</f>
        <v>-</v>
      </c>
      <c r="C217" s="69" t="str">
        <f>IF('AV 2'!I13="Não",'AV 2'!H13,"-")</f>
        <v>-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80" t="str">
        <f>IF('AV 2'!I14="Às vezes",'AV 2'!H14,"-")</f>
        <v>-</v>
      </c>
      <c r="C218" s="69" t="str">
        <f>IF('AV 2'!I14="Não",'AV 2'!H14,"-")</f>
        <v>-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80" t="str">
        <f>IF('AV 2'!I15="Às vezes",'AV 2'!H15,"-")</f>
        <v>-</v>
      </c>
      <c r="C219" s="69" t="str">
        <f>IF('AV 2'!I15="Não",'AV 2'!H15,"-")</f>
        <v>-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80" t="str">
        <f>IF('AV 2'!I16="Às vezes",'AV 2'!H16,"-")</f>
        <v>-</v>
      </c>
      <c r="C220" s="69" t="str">
        <f>IF('AV 2'!I16="Não",'AV 2'!H16,"-")</f>
        <v>-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80" t="str">
        <f>IF('AV 2'!I17="Às vezes",'AV 2'!H17,"-")</f>
        <v>-</v>
      </c>
      <c r="C221" s="69" t="str">
        <f>IF('AV 2'!I17="Não",'AV 2'!H17,"-")</f>
        <v>-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80" t="str">
        <f>IF('AV 2'!I18="Às vezes",'AV 2'!H18,"-")</f>
        <v>-</v>
      </c>
      <c r="C222" s="69" t="str">
        <f>IF('AV 2'!I18="Não",'AV 2'!H18,"-")</f>
        <v>-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80" t="str">
        <f>IF('AV 2'!I19="Às vezes",'AV 2'!H19,"-")</f>
        <v>-</v>
      </c>
      <c r="C223" s="69" t="str">
        <f>IF('AV 2'!I19="Não",'AV 2'!H19,"-")</f>
        <v>-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80" t="str">
        <f>IF('AV 2'!I20="Às vezes",'AV 2'!H20,"-")</f>
        <v>-</v>
      </c>
      <c r="C224" s="69" t="str">
        <f>IF('AV 2'!I20="Não",'AV 2'!H20,"-")</f>
        <v>-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80" t="str">
        <f>IF('AV 2'!I21="Às vezes",'AV 2'!H21,"-")</f>
        <v>-</v>
      </c>
      <c r="C225" s="69" t="str">
        <f>IF('AV 2'!I21="Não",'AV 2'!H21,"-")</f>
        <v>-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80" t="str">
        <f>IF('AV 2'!I22="Às vezes",'AV 2'!H22,"-")</f>
        <v>-</v>
      </c>
      <c r="C226" s="69" t="str">
        <f>IF('AV 2'!I22="Não",'AV 2'!H22,"-")</f>
        <v>-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80" t="str">
        <f>IF('AV 2'!I23="Às vezes",'AV 2'!H23,"-")</f>
        <v>-</v>
      </c>
      <c r="C227" s="69" t="str">
        <f>IF('AV 2'!I23="Não",'AV 2'!H23,"-")</f>
        <v>-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80" t="str">
        <f>IF('AV 2'!I24="Às vezes",'AV 2'!H24,"-")</f>
        <v>-</v>
      </c>
      <c r="C228" s="69" t="str">
        <f>IF('AV 2'!I24="Não",'AV 2'!H24,"-")</f>
        <v>-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80" t="str">
        <f>IF('AV 2'!I25="Às vezes",'AV 2'!H25,"-")</f>
        <v>-</v>
      </c>
      <c r="C229" s="69" t="str">
        <f>IF('AV 2'!I25="Não",'AV 2'!H25,"-")</f>
        <v>-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80" t="str">
        <f>IF('AV 2'!I26="Às vezes",'AV 2'!H26,"-")</f>
        <v>-</v>
      </c>
      <c r="C230" s="69" t="str">
        <f>IF('AV 2'!I26="Não",'AV 2'!H26,"-")</f>
        <v>-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80" t="str">
        <f>IF('AV 2'!I27="Às vezes",'AV 2'!H27,"-")</f>
        <v>-</v>
      </c>
      <c r="C231" s="69" t="str">
        <f>IF('AV 2'!I27="Não",'AV 2'!H27,"-")</f>
        <v>-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80" t="str">
        <f>IF('AV 2'!I28="Às vezes",'AV 2'!H28,"-")</f>
        <v>-</v>
      </c>
      <c r="C232" s="69" t="str">
        <f>IF('AV 2'!I28="Não",'AV 2'!H28,"-")</f>
        <v>-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80" t="str">
        <f>IF('AV 2'!I29="Às vezes",'AV 2'!H29,"-")</f>
        <v>-</v>
      </c>
      <c r="C233" s="69" t="str">
        <f>IF('AV 2'!I29="Não",'AV 2'!H29,"-")</f>
        <v>-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80" t="str">
        <f>IF('AV 2'!I30="Às vezes",'AV 2'!H30,"-")</f>
        <v>-</v>
      </c>
      <c r="C234" s="69" t="str">
        <f>IF('AV 2'!I30="Não",'AV 2'!H30,"-")</f>
        <v>-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80" t="str">
        <f>IF('AV 2'!I31="Às vezes",'AV 2'!H31,"-")</f>
        <v>-</v>
      </c>
      <c r="C235" s="69" t="str">
        <f>IF('AV 2'!I31="Não",'AV 2'!H31,"-")</f>
        <v>-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80" t="str">
        <f>IF('AV 2'!I32="Às vezes",'AV 2'!H32,"-")</f>
        <v>-</v>
      </c>
      <c r="C236" s="69" t="str">
        <f>IF('AV 2'!I32="Não",'AV 2'!H32,"-")</f>
        <v>-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80" t="str">
        <f>IF('AV 2'!I33="Às vezes",'AV 2'!H33,"-")</f>
        <v>-</v>
      </c>
      <c r="C237" s="69" t="str">
        <f>IF('AV 2'!I33="Não",'AV 2'!H33,"-")</f>
        <v>-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80" t="str">
        <f>IF('AV 2'!I34="Às vezes",'AV 2'!H34,"-")</f>
        <v>-</v>
      </c>
      <c r="C238" s="69" t="str">
        <f>IF('AV 2'!I34="Não",'AV 2'!H34,"-")</f>
        <v>-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80" t="str">
        <f>IF('AV 2'!I35="Às vezes",'AV 2'!H35,"-")</f>
        <v>-</v>
      </c>
      <c r="C239" s="69" t="str">
        <f>IF('AV 2'!I35="Não",'AV 2'!H35,"-")</f>
        <v>-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80" t="str">
        <f>IF('AV 2'!I36="Às vezes",'AV 2'!H36,"-")</f>
        <v>-</v>
      </c>
      <c r="C240" s="69" t="str">
        <f>IF('AV 2'!I36="Não",'AV 2'!H36,"-")</f>
        <v>-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80" t="str">
        <f>IF('AV 2'!I37="Às vezes",'AV 2'!H37,"-")</f>
        <v>-</v>
      </c>
      <c r="C241" s="69" t="str">
        <f>IF('AV 2'!I37="Não",'AV 2'!H37,"-")</f>
        <v>-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80" t="str">
        <f>IF('AV 2'!I38="Às vezes",'AV 2'!H38,"-")</f>
        <v>-</v>
      </c>
      <c r="C242" s="69" t="str">
        <f>IF('AV 2'!I38="Não",'AV 2'!H38,"-")</f>
        <v>-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80" t="str">
        <f>IF('AV 2'!I39="Às vezes",'AV 2'!H39,"-")</f>
        <v>-</v>
      </c>
      <c r="C243" s="69" t="str">
        <f>IF('AV 2'!I39="Não",'AV 2'!H39,"-")</f>
        <v>-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80" t="str">
        <f>IF('AV 2'!I40="Às vezes",'AV 2'!H40,"-")</f>
        <v>-</v>
      </c>
      <c r="C244" s="69" t="str">
        <f>IF('AV 2'!I40="Não",'AV 2'!H40,"-")</f>
        <v>-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80" t="str">
        <f>IF('AV 2'!I41="Às vezes",'AV 2'!H41,"-")</f>
        <v>-</v>
      </c>
      <c r="C245" s="69" t="str">
        <f>IF('AV 2'!I41="Não",'AV 2'!H41,"-")</f>
        <v>-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80" t="str">
        <f>IF('AV 2'!I42="Às vezes",'AV 2'!H42,"-")</f>
        <v>-</v>
      </c>
      <c r="C246" s="69" t="str">
        <f>IF('AV 2'!I42="Não",'AV 2'!H42,"-")</f>
        <v>-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80" t="str">
        <f>IF('AV 2'!I43="Às vezes",'AV 2'!H43,"-")</f>
        <v>-</v>
      </c>
      <c r="C247" s="69" t="str">
        <f>IF('AV 2'!I43="Não",'AV 2'!H43,"-")</f>
        <v>-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80" t="str">
        <f>IF('AV 2'!I44="Às vezes",'AV 2'!H44,"-")</f>
        <v>-</v>
      </c>
      <c r="C248" s="69" t="str">
        <f>IF('AV 2'!I44="Não",'AV 2'!H44,"-")</f>
        <v>-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80" t="str">
        <f>IF('AV 2'!I45="Às vezes",'AV 2'!H45,"-")</f>
        <v>-</v>
      </c>
      <c r="C249" s="69" t="str">
        <f>IF('AV 2'!I45="Não",'AV 2'!H45,"-")</f>
        <v>-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80" t="str">
        <f>IF('AV 2'!I46="Às vezes",'AV 2'!H46,"-")</f>
        <v>-</v>
      </c>
      <c r="C250" s="69" t="str">
        <f>IF('AV 2'!I46="Não",'AV 2'!H46,"-")</f>
        <v>-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80" t="str">
        <f>IF('AV 2'!I47="Às vezes",'AV 2'!H47,"-")</f>
        <v>-</v>
      </c>
      <c r="C251" s="69" t="str">
        <f>IF('AV 2'!I47="Não",'AV 2'!H47,"-")</f>
        <v>-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80" t="str">
        <f>IF('AV 2'!I48="Às vezes",'AV 2'!H48,"-")</f>
        <v>-</v>
      </c>
      <c r="C252" s="69" t="str">
        <f>IF('AV 2'!I48="Não",'AV 2'!H48,"-")</f>
        <v>-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80" t="str">
        <f>IF('AV 2'!I49="Às vezes",'AV 2'!H49,"-")</f>
        <v>-</v>
      </c>
      <c r="C253" s="69" t="str">
        <f>IF('AV 2'!I49="Não",'AV 2'!H49,"-")</f>
        <v>-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80" t="str">
        <f>IF('AV 2'!I50="Às vezes",'AV 2'!H50,"-")</f>
        <v>-</v>
      </c>
      <c r="C254" s="69" t="str">
        <f>IF('AV 2'!I50="Não",'AV 2'!H50,"-")</f>
        <v>-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80" t="str">
        <f>IF('AV 2'!I51="Às vezes",'AV 2'!H51,"-")</f>
        <v>-</v>
      </c>
      <c r="C255" s="69" t="str">
        <f>IF('AV 2'!I51="Não",'AV 2'!H51,"-")</f>
        <v>-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80" t="str">
        <f>IF('AV 2'!I52="Às vezes",'AV 2'!H52,"-")</f>
        <v>-</v>
      </c>
      <c r="C256" s="69" t="str">
        <f>IF('AV 2'!I52="Não",'AV 2'!H52,"-")</f>
        <v>-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80" t="str">
        <f>IF('AV 2'!I53="Às vezes",'AV 2'!H53,"-")</f>
        <v>-</v>
      </c>
      <c r="C257" s="69" t="str">
        <f>IF('AV 2'!I53="Não",'AV 2'!H53,"-")</f>
        <v>-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80" t="str">
        <f>IF('AV 2'!I54="Às vezes",'AV 2'!H54,"-")</f>
        <v>-</v>
      </c>
      <c r="C258" s="69" t="str">
        <f>IF('AV 2'!I54="Não",'AV 2'!H54,"-")</f>
        <v>-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80" t="str">
        <f>IF('AV 2'!I55="Às vezes",'AV 2'!H55,"-")</f>
        <v>-</v>
      </c>
      <c r="C259" s="69" t="str">
        <f>IF('AV 2'!I55="Não",'AV 2'!H55,"-")</f>
        <v>-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80" t="str">
        <f>IF('AV 2'!I56="Às vezes",'AV 2'!H56,"-")</f>
        <v>-</v>
      </c>
      <c r="C260" s="69" t="str">
        <f>IF('AV 2'!I56="Não",'AV 2'!H56,"-")</f>
        <v>-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80" t="str">
        <f>IF('AV 2'!I57="Às vezes",'AV 2'!H57,"-")</f>
        <v>-</v>
      </c>
      <c r="C261" s="69" t="str">
        <f>IF('AV 2'!I57="Não",'AV 2'!H57,"-")</f>
        <v>-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80" t="str">
        <f>IF('AV 2'!I58="Às vezes",'AV 2'!H58,"-")</f>
        <v>-</v>
      </c>
      <c r="C262" s="69" t="str">
        <f>IF('AV 2'!I58="Não",'AV 2'!H58,"-")</f>
        <v>-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80" t="str">
        <f>IF('AV 2'!I59="Às vezes",'AV 2'!H59,"-")</f>
        <v>-</v>
      </c>
      <c r="C263" s="69" t="str">
        <f>IF('AV 2'!I59="Não",'AV 2'!H59,"-")</f>
        <v>-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80" t="str">
        <f>IF('AV 2'!I60="Às vezes",'AV 2'!H60,"-")</f>
        <v>-</v>
      </c>
      <c r="C264" s="69" t="str">
        <f>IF('AV 2'!I60="Não",'AV 2'!H60,"-")</f>
        <v>-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80" t="str">
        <f>IF('AV 2'!I61="Às vezes",'AV 2'!H61,"-")</f>
        <v>-</v>
      </c>
      <c r="C265" s="69" t="str">
        <f>IF('AV 2'!I61="Não",'AV 2'!H61,"-")</f>
        <v>-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80" t="str">
        <f>IF('AV 2'!I62="Às vezes",'AV 2'!H62,"-")</f>
        <v>-</v>
      </c>
      <c r="C266" s="69" t="str">
        <f>IF('AV 2'!I62="Não",'AV 2'!H62,"-")</f>
        <v>-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80" t="str">
        <f>IF('AV 2'!I63="Às vezes",'AV 2'!H63,"-")</f>
        <v>-</v>
      </c>
      <c r="C267" s="69" t="str">
        <f>IF('AV 2'!I63="Não",'AV 2'!H63,"-")</f>
        <v>-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80" t="str">
        <f>IF('AV 2'!I64="Às vezes",'AV 2'!H64,"-")</f>
        <v>-</v>
      </c>
      <c r="C268" s="69" t="str">
        <f>IF('AV 2'!I64="Não",'AV 2'!H64,"-")</f>
        <v>-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80" t="str">
        <f>IF('AV 2'!I65="Às vezes",'AV 2'!H65,"-")</f>
        <v>-</v>
      </c>
      <c r="C269" s="69" t="str">
        <f>IF('AV 2'!I65="Não",'AV 2'!H65,"-")</f>
        <v>-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80" t="str">
        <f>IF('AV 2'!I66="Às vezes",'AV 2'!H66,"-")</f>
        <v>-</v>
      </c>
      <c r="C270" s="69" t="str">
        <f>IF('AV 2'!I66="Não",'AV 2'!H66,"-")</f>
        <v>-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80" t="str">
        <f>IF('AV 2'!I67="Às vezes",'AV 2'!H67,"-")</f>
        <v>-</v>
      </c>
      <c r="C271" s="69" t="str">
        <f>IF('AV 2'!I67="Não",'AV 2'!H67,"-")</f>
        <v>-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80" t="str">
        <f>IF('AV 2'!I68="Às vezes",'AV 2'!H68,"-")</f>
        <v>-</v>
      </c>
      <c r="C272" s="69" t="str">
        <f>IF('AV 2'!I68="Não",'AV 2'!H68,"-")</f>
        <v>-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80" t="str">
        <f>IF('AV 2'!I69="Às vezes",'AV 2'!H69,"-")</f>
        <v>-</v>
      </c>
      <c r="C273" s="69" t="str">
        <f>IF('AV 2'!I69="Não",'AV 2'!H69,"-")</f>
        <v>-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80" t="str">
        <f>IF('AV 2'!I70="Às vezes",'AV 2'!H70,"-")</f>
        <v>-</v>
      </c>
      <c r="C274" s="69" t="str">
        <f>IF('AV 2'!I70="Não",'AV 2'!H70,"-")</f>
        <v>-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80" t="str">
        <f>IF('AV 2'!I71="Às vezes",'AV 2'!H71,"-")</f>
        <v>-</v>
      </c>
      <c r="C275" s="69" t="str">
        <f>IF('AV 2'!I71="Não",'AV 2'!H71,"-")</f>
        <v>-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80" t="str">
        <f>IF('AV 2'!I72="Às vezes",'AV 2'!H72,"-")</f>
        <v>-</v>
      </c>
      <c r="C276" s="69" t="str">
        <f>IF('AV 2'!I72="Não",'AV 2'!H72,"-")</f>
        <v>-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80" t="str">
        <f>IF('AV 2'!I73="Às vezes",'AV 2'!H73,"-")</f>
        <v>-</v>
      </c>
      <c r="C277" s="69" t="str">
        <f>IF('AV 2'!I73="Não",'AV 2'!H73,"-")</f>
        <v>-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80" t="str">
        <f>IF('AV 2'!I74="Às vezes",'AV 2'!H74,"-")</f>
        <v>-</v>
      </c>
      <c r="C278" s="69" t="str">
        <f>IF('AV 2'!I74="Não",'AV 2'!H74,"-")</f>
        <v>-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80" t="str">
        <f>IF('AV 2'!I75="Às vezes",'AV 2'!H75,"-")</f>
        <v>-</v>
      </c>
      <c r="C279" s="69" t="str">
        <f>IF('AV 2'!I75="Não",'AV 2'!H75,"-")</f>
        <v>-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80" t="str">
        <f>IF('AV 2'!I76="Às vezes",'AV 2'!H76,"-")</f>
        <v>-</v>
      </c>
      <c r="C280" s="69" t="str">
        <f>IF('AV 2'!I76="Não",'AV 2'!H76,"-")</f>
        <v>-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80" t="str">
        <f>IF('AV 2'!I77="Às vezes",'AV 2'!H77,"-")</f>
        <v>-</v>
      </c>
      <c r="C281" s="69" t="str">
        <f>IF('AV 2'!I77="Não",'AV 2'!H77,"-")</f>
        <v>-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80" t="str">
        <f>IF('AV 2'!I78="Às vezes",'AV 2'!H78,"-")</f>
        <v>-</v>
      </c>
      <c r="C282" s="69" t="str">
        <f>IF('AV 2'!I78="Não",'AV 2'!H78,"-")</f>
        <v>-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80" t="str">
        <f>IF('AV 2'!I79="Às vezes",'AV 2'!H79,"-")</f>
        <v>-</v>
      </c>
      <c r="C283" s="69" t="str">
        <f>IF('AV 2'!I79="Não",'AV 2'!H79,"-")</f>
        <v>-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80" t="str">
        <f>IF('AV 2'!I80="Às vezes",'AV 2'!H80,"-")</f>
        <v>-</v>
      </c>
      <c r="C284" s="69" t="str">
        <f>IF('AV 2'!I80="Não",'AV 2'!H80,"-")</f>
        <v>-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80" t="str">
        <f>IF('AV 2'!I81="Às vezes",'AV 2'!H81,"-")</f>
        <v>-</v>
      </c>
      <c r="C285" s="69" t="str">
        <f>IF('AV 2'!I81="Não",'AV 2'!H81,"-")</f>
        <v>-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80" t="str">
        <f>IF('AV 2'!I82="Às vezes",'AV 2'!H82,"-")</f>
        <v>-</v>
      </c>
      <c r="C286" s="69" t="str">
        <f>IF('AV 2'!I82="Não",'AV 2'!H82,"-")</f>
        <v>-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80" t="str">
        <f>IF('AV 2'!I83="Às vezes",'AV 2'!H83,"-")</f>
        <v>-</v>
      </c>
      <c r="C287" s="69" t="str">
        <f>IF('AV 2'!I83="Não",'AV 2'!H83,"-")</f>
        <v>-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80" t="str">
        <f>IF('AV 2'!I84="Às vezes",'AV 2'!H84,"-")</f>
        <v>-</v>
      </c>
      <c r="C288" s="69" t="str">
        <f>IF('AV 2'!I84="Não",'AV 2'!H84,"-")</f>
        <v>-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80" t="str">
        <f>IF('AV 2'!I85="Às vezes",'AV 2'!H85,"-")</f>
        <v>-</v>
      </c>
      <c r="C289" s="69" t="str">
        <f>IF('AV 2'!I85="Não",'AV 2'!H85,"-")</f>
        <v>-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80" t="str">
        <f>IF('AV 2'!I86="Às vezes",'AV 2'!H86,"-")</f>
        <v>-</v>
      </c>
      <c r="C290" s="69" t="str">
        <f>IF('AV 2'!I86="Não",'AV 2'!H86,"-")</f>
        <v>-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80" t="str">
        <f>IF('AV 2'!I87="Às vezes",'AV 2'!H87,"-")</f>
        <v>-</v>
      </c>
      <c r="C291" s="69" t="str">
        <f>IF('AV 2'!I87="Não",'AV 2'!H87,"-")</f>
        <v>-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80" t="str">
        <f>IF('AV 2'!I88="Às vezes",'AV 2'!H88,"-")</f>
        <v>-</v>
      </c>
      <c r="C292" s="69" t="str">
        <f>IF('AV 2'!I88="Não",'AV 2'!H88,"-")</f>
        <v>-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80" t="str">
        <f>IF('AV 2'!I89="Às vezes",'AV 2'!H89,"-")</f>
        <v>-</v>
      </c>
      <c r="C293" s="69" t="str">
        <f>IF('AV 2'!I89="Não",'AV 2'!H89,"-")</f>
        <v>-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80" t="str">
        <f>IF('AV 2'!I90="Às vezes",'AV 2'!H90,"-")</f>
        <v>-</v>
      </c>
      <c r="C294" s="69" t="str">
        <f>IF('AV 2'!I90="Não",'AV 2'!H90,"-")</f>
        <v>-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80" t="str">
        <f>IF('AV 2'!I91="Às vezes",'AV 2'!H91,"-")</f>
        <v>-</v>
      </c>
      <c r="C295" s="69" t="str">
        <f>IF('AV 2'!I91="Não",'AV 2'!H91,"-")</f>
        <v>-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80" t="str">
        <f>IF('AV 2'!I92="Às vezes",'AV 2'!H92,"-")</f>
        <v>-</v>
      </c>
      <c r="C296" s="69" t="str">
        <f>IF('AV 2'!I92="Não",'AV 2'!H92,"-")</f>
        <v>-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80" t="str">
        <f>IF('AV 2'!I93="Às vezes",'AV 2'!H93,"-")</f>
        <v>-</v>
      </c>
      <c r="C297" s="69" t="str">
        <f>IF('AV 2'!I93="Não",'AV 2'!H93,"-")</f>
        <v>-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80" t="str">
        <f>IF('AV 2'!I94="Às vezes",'AV 2'!H94,"-")</f>
        <v>-</v>
      </c>
      <c r="C298" s="69" t="str">
        <f>IF('AV 2'!I94="Não",'AV 2'!H94,"-")</f>
        <v>-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80" t="str">
        <f>IF('AV 2'!I95="Às vezes",'AV 2'!H95,"-")</f>
        <v>-</v>
      </c>
      <c r="C299" s="69" t="str">
        <f>IF('AV 2'!I95="Não",'AV 2'!H95,"-")</f>
        <v>-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80" t="str">
        <f>IF('AV 2'!I96="Às vezes",'AV 2'!H96,"-")</f>
        <v>-</v>
      </c>
      <c r="C300" s="69" t="str">
        <f>IF('AV 2'!I96="Não",'AV 2'!H96,"-")</f>
        <v>-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80" t="str">
        <f>IF('AV 2'!I97="Às vezes",'AV 2'!H97,"-")</f>
        <v>-</v>
      </c>
      <c r="C301" s="69" t="str">
        <f>IF('AV 2'!I97="Não",'AV 2'!H97,"-")</f>
        <v>-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80" t="str">
        <f>IF('AV 2'!I98="Às vezes",'AV 2'!H98,"-")</f>
        <v>-</v>
      </c>
      <c r="C302" s="69" t="str">
        <f>IF('AV 2'!I98="Não",'AV 2'!H98,"-")</f>
        <v>-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80" t="str">
        <f>IF('AV 2'!I99="Às vezes",'AV 2'!H99,"-")</f>
        <v>-</v>
      </c>
      <c r="C303" s="69" t="str">
        <f>IF('AV 2'!I99="Não",'AV 2'!H99,"-")</f>
        <v>-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80" t="str">
        <f>IF('AV 2'!I100="Às vezes",'AV 2'!H100,"-")</f>
        <v>-</v>
      </c>
      <c r="C304" s="69" t="str">
        <f>IF('AV 2'!I100="Não",'AV 2'!H100,"-")</f>
        <v>-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80" t="str">
        <f>IF('AV 2'!I101="Às vezes",'AV 2'!H101,"-")</f>
        <v>-</v>
      </c>
      <c r="C305" s="69" t="str">
        <f>IF('AV 2'!I101="Não",'AV 2'!H101,"-")</f>
        <v>-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80" t="str">
        <f>IF('AV 2'!I102="Às vezes",'AV 2'!H102,"-")</f>
        <v>-</v>
      </c>
      <c r="C306" s="69" t="str">
        <f>IF('AV 2'!I102="Não",'AV 2'!H102,"-")</f>
        <v>-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80" t="str">
        <f>IF('AV 2'!I103="Às vezes",'AV 2'!H103,"-")</f>
        <v>-</v>
      </c>
      <c r="C307" s="69" t="str">
        <f>IF('AV 2'!I103="Não",'AV 2'!H103,"-")</f>
        <v>-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80" t="str">
        <f>IF('AV 2'!I104="Às vezes",'AV 2'!H104,"-")</f>
        <v>-</v>
      </c>
      <c r="C308" s="69" t="str">
        <f>IF('AV 2'!I104="Não",'AV 2'!H104,"-")</f>
        <v>-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80" t="str">
        <f>IF('AV 2'!I105="Às vezes",'AV 2'!H105,"-")</f>
        <v>-</v>
      </c>
      <c r="C309" s="69" t="str">
        <f>IF('AV 2'!I105="Não",'AV 2'!H105,"-")</f>
        <v>-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80" t="str">
        <f>IF('AV 2'!I106="Às vezes",'AV 2'!H106,"-")</f>
        <v>-</v>
      </c>
      <c r="C310" s="69" t="str">
        <f>IF('AV 2'!I106="Não",'AV 2'!H106,"-")</f>
        <v>-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80" t="str">
        <f>IF('AV 2'!I107="Às vezes",'AV 2'!H107,"-")</f>
        <v>-</v>
      </c>
      <c r="C311" s="69" t="str">
        <f>IF('AV 2'!I107="Não",'AV 2'!H107,"-")</f>
        <v>-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80" t="str">
        <f>IF('AV 2'!I108="Às vezes",'AV 2'!H108,"-")</f>
        <v>-</v>
      </c>
      <c r="C312" s="69" t="str">
        <f>IF('AV 2'!I108="Não",'AV 2'!H108,"-")</f>
        <v>-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80" t="str">
        <f>IF('AV 2'!I109="Às vezes",'AV 2'!H109,"-")</f>
        <v>-</v>
      </c>
      <c r="C313" s="69" t="str">
        <f>IF('AV 2'!I109="Não",'AV 2'!H109,"-")</f>
        <v>-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80" t="str">
        <f>IF('AV 2'!I110="Às vezes",'AV 2'!H110,"-")</f>
        <v>-</v>
      </c>
      <c r="C314" s="69" t="str">
        <f>IF('AV 2'!I110="Não",'AV 2'!H110,"-")</f>
        <v>-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80" t="str">
        <f>IF('AV 2'!I111="Às vezes",'AV 2'!H111,"-")</f>
        <v>-</v>
      </c>
      <c r="C315" s="69" t="str">
        <f>IF('AV 2'!I111="Não",'AV 2'!H111,"-")</f>
        <v>-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80" t="str">
        <f>IF('AV 2'!I112="Às vezes",'AV 2'!H112,"-")</f>
        <v>-</v>
      </c>
      <c r="C316" s="69" t="str">
        <f>IF('AV 2'!I112="Não",'AV 2'!H112,"-")</f>
        <v>-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80" t="str">
        <f>IF('AV 2'!I113="Às vezes",'AV 2'!H113,"-")</f>
        <v>-</v>
      </c>
      <c r="C317" s="69" t="str">
        <f>IF('AV 2'!I113="Não",'AV 2'!H113,"-")</f>
        <v>-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80" t="str">
        <f>IF('AV 2'!I114="Às vezes",'AV 2'!H114,"-")</f>
        <v>-</v>
      </c>
      <c r="C318" s="69" t="str">
        <f>IF('AV 2'!I114="Não",'AV 2'!H114,"-")</f>
        <v>-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80" t="str">
        <f>IF('AV 2'!I115="Às vezes",'AV 2'!H115,"-")</f>
        <v>-</v>
      </c>
      <c r="C319" s="69" t="str">
        <f>IF('AV 2'!I115="Não",'AV 2'!H115,"-")</f>
        <v>-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80" t="str">
        <f>IF('AV 2'!I116="Às vezes",'AV 2'!H116,"-")</f>
        <v>-</v>
      </c>
      <c r="C320" s="69" t="str">
        <f>IF('AV 2'!I116="Não",'AV 2'!H116,"-")</f>
        <v>-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80" t="str">
        <f>IF('AV 2'!I117="Às vezes",'AV 2'!H117,"-")</f>
        <v>-</v>
      </c>
      <c r="C321" s="69" t="str">
        <f>IF('AV 2'!I117="Não",'AV 2'!H117,"-")</f>
        <v>-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80" t="str">
        <f>IF('AV 2'!I118="Às vezes",'AV 2'!H118,"-")</f>
        <v>-</v>
      </c>
      <c r="C322" s="69" t="str">
        <f>IF('AV 2'!I118="Não",'AV 2'!H118,"-")</f>
        <v>-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80" t="str">
        <f>IF('AV 2'!I119="Às vezes",'AV 2'!H119,"-")</f>
        <v>-</v>
      </c>
      <c r="C323" s="69" t="str">
        <f>IF('AV 2'!I119="Não",'AV 2'!H119,"-")</f>
        <v>-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80" t="str">
        <f>IF('AV 2'!I120="Às vezes",'AV 2'!H120,"-")</f>
        <v>-</v>
      </c>
      <c r="C324" s="69" t="str">
        <f>IF('AV 2'!I120="Não",'AV 2'!H120,"-")</f>
        <v>-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80" t="str">
        <f>IF('AV 2'!I121="Às vezes",'AV 2'!H121,"-")</f>
        <v>-</v>
      </c>
      <c r="C325" s="69" t="str">
        <f>IF('AV 2'!I121="Não",'AV 2'!H121,"-")</f>
        <v>-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80" t="str">
        <f>IF('AV 2'!I122="Às vezes",'AV 2'!H122,"-")</f>
        <v>-</v>
      </c>
      <c r="C326" s="69" t="str">
        <f>IF('AV 2'!I122="Não",'AV 2'!H122,"-")</f>
        <v>-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80" t="str">
        <f>IF('AV 2'!I123="Às vezes",'AV 2'!H123,"-")</f>
        <v>-</v>
      </c>
      <c r="C327" s="69" t="str">
        <f>IF('AV 2'!I123="Não",'AV 2'!H123,"-")</f>
        <v>-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80" t="str">
        <f>IF('AV 2'!I124="Às vezes",'AV 2'!H124,"-")</f>
        <v>-</v>
      </c>
      <c r="C328" s="69" t="str">
        <f>IF('AV 2'!I124="Não",'AV 2'!H124,"-")</f>
        <v>-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80" t="str">
        <f>IF('AV 2'!I125="Às vezes",'AV 2'!H125,"-")</f>
        <v>-</v>
      </c>
      <c r="C329" s="69" t="str">
        <f>IF('AV 2'!I125="Não",'AV 2'!H125,"-")</f>
        <v>-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80" t="str">
        <f>IF('AV 2'!I126="Às vezes",'AV 2'!H126,"-")</f>
        <v>-</v>
      </c>
      <c r="C330" s="69" t="str">
        <f>IF('AV 2'!I126="Não",'AV 2'!H126,"-")</f>
        <v>-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80" t="str">
        <f>IF('AV 2'!I127="Às vezes",'AV 2'!H127,"-")</f>
        <v>-</v>
      </c>
      <c r="C331" s="69" t="str">
        <f>IF('AV 2'!I127="Não",'AV 2'!H127,"-")</f>
        <v>-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80" t="str">
        <f>IF('AV 2'!I128="Às vezes",'AV 2'!H128,"-")</f>
        <v>-</v>
      </c>
      <c r="C332" s="69" t="str">
        <f>IF('AV 2'!I128="Não",'AV 2'!H128,"-")</f>
        <v>-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80" t="str">
        <f>IF('AV 2'!I129="Às vezes",'AV 2'!H129,"-")</f>
        <v>-</v>
      </c>
      <c r="C333" s="69" t="str">
        <f>IF('AV 2'!I129="Não",'AV 2'!H129,"-")</f>
        <v>-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80" t="str">
        <f>IF('AV 2'!I130="Às vezes",'AV 2'!H130,"-")</f>
        <v>-</v>
      </c>
      <c r="C334" s="69" t="str">
        <f>IF('AV 2'!I130="Não",'AV 2'!H130,"-")</f>
        <v>-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80" t="str">
        <f>IF('AV 2'!I131="Às vezes",'AV 2'!H131,"-")</f>
        <v>-</v>
      </c>
      <c r="C335" s="69" t="str">
        <f>IF('AV 2'!I131="Não",'AV 2'!H131,"-")</f>
        <v>-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79" t="s">
        <v>12</v>
      </c>
      <c r="C336" s="79" t="s">
        <v>12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80" t="str">
        <f>IF('AV 2'!L13="Às vezes",'AV 2'!K13,"-")</f>
        <v>-</v>
      </c>
      <c r="C337" s="69" t="str">
        <f>IF('AV 2'!L13="Não",'AV 2'!K13,"-")</f>
        <v>-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80" t="str">
        <f>IF('AV 2'!L14="Às vezes",'AV 2'!K14,"-")</f>
        <v>-</v>
      </c>
      <c r="C338" s="69" t="str">
        <f>IF('AV 2'!L14="Não",'AV 2'!K14,"-")</f>
        <v>-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80" t="str">
        <f>IF('AV 2'!L15="Às vezes",'AV 2'!K15,"-")</f>
        <v>-</v>
      </c>
      <c r="C339" s="69" t="str">
        <f>IF('AV 2'!L15="Não",'AV 2'!K15,"-")</f>
        <v>-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80" t="str">
        <f>IF('AV 2'!L16="Às vezes",'AV 2'!K16,"-")</f>
        <v>-</v>
      </c>
      <c r="C340" s="69" t="str">
        <f>IF('AV 2'!L16="Não",'AV 2'!K16,"-")</f>
        <v>-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80" t="str">
        <f>IF('AV 2'!L17="Às vezes",'AV 2'!K17,"-")</f>
        <v>-</v>
      </c>
      <c r="C341" s="69" t="str">
        <f>IF('AV 2'!L17="Não",'AV 2'!K17,"-")</f>
        <v>-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80" t="str">
        <f>IF('AV 2'!L18="Às vezes",'AV 2'!K18,"-")</f>
        <v>-</v>
      </c>
      <c r="C342" s="69" t="str">
        <f>IF('AV 2'!L18="Não",'AV 2'!K18,"-")</f>
        <v>-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80" t="str">
        <f>IF('AV 2'!L19="Às vezes",'AV 2'!K19,"-")</f>
        <v>-</v>
      </c>
      <c r="C343" s="69" t="str">
        <f>IF('AV 2'!L19="Não",'AV 2'!K19,"-")</f>
        <v>-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80" t="str">
        <f>IF('AV 2'!L20="Às vezes",'AV 2'!K20,"-")</f>
        <v>-</v>
      </c>
      <c r="C344" s="69" t="str">
        <f>IF('AV 2'!L20="Não",'AV 2'!K20,"-")</f>
        <v>-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80" t="str">
        <f>IF('AV 2'!L21="Às vezes",'AV 2'!K21,"-")</f>
        <v>-</v>
      </c>
      <c r="C345" s="69" t="str">
        <f>IF('AV 2'!L21="Não",'AV 2'!K21,"-")</f>
        <v>-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80" t="str">
        <f>IF('AV 2'!L22="Às vezes",'AV 2'!K22,"-")</f>
        <v>-</v>
      </c>
      <c r="C346" s="69" t="str">
        <f>IF('AV 2'!L22="Não",'AV 2'!K22,"-")</f>
        <v>-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80" t="str">
        <f>IF('AV 2'!L23="Às vezes",'AV 2'!K23,"-")</f>
        <v>-</v>
      </c>
      <c r="C347" s="69" t="str">
        <f>IF('AV 2'!L23="Não",'AV 2'!K23,"-")</f>
        <v>-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5.5" customHeight="1">
      <c r="A348" s="1"/>
      <c r="B348" s="80" t="str">
        <f>IF('AV 2'!L24="Às vezes",'AV 2'!K24,"-")</f>
        <v>-</v>
      </c>
      <c r="C348" s="69" t="str">
        <f>IF('AV 2'!L24="Não",'AV 2'!K24,"-")</f>
        <v>-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80" t="str">
        <f>IF('AV 2'!L25="Às vezes",'AV 2'!K25,"-")</f>
        <v>-</v>
      </c>
      <c r="C349" s="69" t="str">
        <f>IF('AV 2'!L25="Não",'AV 2'!K25,"-")</f>
        <v>-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80" t="str">
        <f>IF('AV 2'!L26="Às vezes",'AV 2'!K26,"-")</f>
        <v>-</v>
      </c>
      <c r="C350" s="69" t="str">
        <f>IF('AV 2'!L26="Não",'AV 2'!K26,"-")</f>
        <v>-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80" t="str">
        <f>IF('AV 2'!L27="Às vezes",'AV 2'!K27,"-")</f>
        <v>-</v>
      </c>
      <c r="C351" s="69" t="str">
        <f>IF('AV 2'!L27="Não",'AV 2'!K27,"-")</f>
        <v>-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80" t="str">
        <f>IF('AV 2'!L28="Às vezes",'AV 2'!K28,"-")</f>
        <v>-</v>
      </c>
      <c r="C352" s="69" t="str">
        <f>IF('AV 2'!L28="Não",'AV 2'!K28,"-")</f>
        <v>-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80" t="str">
        <f>IF('AV 2'!L29="Às vezes",'AV 2'!K29,"-")</f>
        <v>-</v>
      </c>
      <c r="C353" s="69" t="str">
        <f>IF('AV 2'!L29="Não",'AV 2'!K29,"-")</f>
        <v>-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80" t="str">
        <f>IF('AV 2'!L30="Às vezes",'AV 2'!K30,"-")</f>
        <v>-</v>
      </c>
      <c r="C354" s="69" t="str">
        <f>IF('AV 2'!L30="Não",'AV 2'!K30,"-")</f>
        <v>-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80" t="str">
        <f>IF('AV 2'!L31="Às vezes",'AV 2'!K31,"-")</f>
        <v>-</v>
      </c>
      <c r="C355" s="69" t="str">
        <f>IF('AV 2'!L31="Não",'AV 2'!K31,"-")</f>
        <v>-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80" t="str">
        <f>IF('AV 2'!L32="Às vezes",'AV 2'!K32,"-")</f>
        <v>-</v>
      </c>
      <c r="C356" s="69" t="str">
        <f>IF('AV 2'!L32="Não",'AV 2'!K32,"-")</f>
        <v>-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80" t="str">
        <f>IF('AV 2'!L33="Às vezes",'AV 2'!K33,"-")</f>
        <v>-</v>
      </c>
      <c r="C357" s="69" t="str">
        <f>IF('AV 2'!L33="Não",'AV 2'!K33,"-")</f>
        <v>-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80" t="str">
        <f>IF('AV 2'!L34="Às vezes",'AV 2'!K34,"-")</f>
        <v>-</v>
      </c>
      <c r="C358" s="69" t="str">
        <f>IF('AV 2'!L34="Não",'AV 2'!K34,"-")</f>
        <v>-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80" t="str">
        <f>IF('AV 2'!L35="Às vezes",'AV 2'!K35,"-")</f>
        <v>-</v>
      </c>
      <c r="C359" s="69" t="str">
        <f>IF('AV 2'!L35="Não",'AV 2'!K35,"-")</f>
        <v>-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80" t="str">
        <f>IF('AV 2'!L36="Às vezes",'AV 2'!K36,"-")</f>
        <v>-</v>
      </c>
      <c r="C360" s="69" t="str">
        <f>IF('AV 2'!L36="Não",'AV 2'!K36,"-")</f>
        <v>-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80" t="str">
        <f>IF('AV 2'!L37="Às vezes",'AV 2'!K37,"-")</f>
        <v>-</v>
      </c>
      <c r="C361" s="69" t="str">
        <f>IF('AV 2'!L37="Não",'AV 2'!K37,"-")</f>
        <v>-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80" t="str">
        <f>IF('AV 2'!L38="Às vezes",'AV 2'!K38,"-")</f>
        <v>-</v>
      </c>
      <c r="C362" s="69" t="str">
        <f>IF('AV 2'!L38="Não",'AV 2'!K38,"-")</f>
        <v>-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80" t="str">
        <f>IF('AV 2'!L39="Às vezes",'AV 2'!K39,"-")</f>
        <v>-</v>
      </c>
      <c r="C363" s="69" t="str">
        <f>IF('AV 2'!L39="Não",'AV 2'!K39,"-")</f>
        <v>-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80" t="str">
        <f>IF('AV 2'!L40="Às vezes",'AV 2'!K40,"-")</f>
        <v>-</v>
      </c>
      <c r="C364" s="69" t="str">
        <f>IF('AV 2'!L40="Não",'AV 2'!K40,"-")</f>
        <v>-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80" t="str">
        <f>IF('AV 2'!L41="Às vezes",'AV 2'!K41,"-")</f>
        <v>-</v>
      </c>
      <c r="C365" s="69" t="str">
        <f>IF('AV 2'!L41="Não",'AV 2'!K41,"-")</f>
        <v>-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80" t="str">
        <f>IF('AV 2'!L42="Às vezes",'AV 2'!K42,"-")</f>
        <v>-</v>
      </c>
      <c r="C366" s="69" t="str">
        <f>IF('AV 2'!L42="Não",'AV 2'!K42,"-")</f>
        <v>-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80" t="str">
        <f>IF('AV 2'!L43="Às vezes",'AV 2'!K43,"-")</f>
        <v>-</v>
      </c>
      <c r="C367" s="69" t="str">
        <f>IF('AV 2'!L43="Não",'AV 2'!K43,"-")</f>
        <v>-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80" t="str">
        <f>IF('AV 2'!L44="Às vezes",'AV 2'!K44,"-")</f>
        <v>-</v>
      </c>
      <c r="C368" s="69" t="str">
        <f>IF('AV 2'!L44="Não",'AV 2'!K44,"-")</f>
        <v>-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80" t="str">
        <f>IF('AV 2'!L45="Às vezes",'AV 2'!K45,"-")</f>
        <v>-</v>
      </c>
      <c r="C369" s="69" t="str">
        <f>IF('AV 2'!L45="Não",'AV 2'!K45,"-")</f>
        <v>-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80" t="str">
        <f>IF('AV 2'!L46="Às vezes",'AV 2'!K46,"-")</f>
        <v>-</v>
      </c>
      <c r="C370" s="69" t="str">
        <f>IF('AV 2'!L46="Não",'AV 2'!K46,"-")</f>
        <v>-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80" t="str">
        <f>IF('AV 2'!L47="Às vezes",'AV 2'!K47,"-")</f>
        <v>-</v>
      </c>
      <c r="C371" s="69" t="str">
        <f>IF('AV 2'!L47="Não",'AV 2'!K47,"-")</f>
        <v>-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80" t="str">
        <f>IF('AV 2'!L48="Às vezes",'AV 2'!K48,"-")</f>
        <v>-</v>
      </c>
      <c r="C372" s="69" t="str">
        <f>IF('AV 2'!L48="Não",'AV 2'!K48,"-")</f>
        <v>-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80" t="str">
        <f>IF('AV 2'!L49="Às vezes",'AV 2'!K49,"-")</f>
        <v>-</v>
      </c>
      <c r="C373" s="69" t="str">
        <f>IF('AV 2'!L49="Não",'AV 2'!K49,"-")</f>
        <v>-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80" t="str">
        <f>IF('AV 2'!L50="Às vezes",'AV 2'!K50,"-")</f>
        <v>-</v>
      </c>
      <c r="C374" s="69" t="str">
        <f>IF('AV 2'!L50="Não",'AV 2'!K50,"-")</f>
        <v>-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80" t="str">
        <f>IF('AV 2'!L51="Às vezes",'AV 2'!K51,"-")</f>
        <v>-</v>
      </c>
      <c r="C375" s="69" t="str">
        <f>IF('AV 2'!L51="Não",'AV 2'!K51,"-")</f>
        <v>-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80" t="str">
        <f>IF('AV 2'!L52="Às vezes",'AV 2'!K52,"-")</f>
        <v>-</v>
      </c>
      <c r="C376" s="69" t="str">
        <f>IF('AV 2'!L52="Não",'AV 2'!K52,"-")</f>
        <v>-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80" t="str">
        <f>IF('AV 2'!L53="Às vezes",'AV 2'!K53,"-")</f>
        <v>-</v>
      </c>
      <c r="C377" s="69" t="str">
        <f>IF('AV 2'!L53="Não",'AV 2'!K53,"-")</f>
        <v>-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80" t="str">
        <f>IF('AV 2'!L54="Às vezes",'AV 2'!K54,"-")</f>
        <v>-</v>
      </c>
      <c r="C378" s="69" t="str">
        <f>IF('AV 2'!L54="Não",'AV 2'!K54,"-")</f>
        <v>-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80" t="str">
        <f>IF('AV 2'!L55="Às vezes",'AV 2'!K55,"-")</f>
        <v>-</v>
      </c>
      <c r="C379" s="69" t="str">
        <f>IF('AV 2'!L55="Não",'AV 2'!K55,"-")</f>
        <v>-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80" t="str">
        <f>IF('AV 2'!L56="Às vezes",'AV 2'!K56,"-")</f>
        <v>-</v>
      </c>
      <c r="C380" s="69" t="str">
        <f>IF('AV 2'!L56="Não",'AV 2'!K56,"-")</f>
        <v>-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80" t="str">
        <f>IF('AV 2'!L57="Às vezes",'AV 2'!K57,"-")</f>
        <v>-</v>
      </c>
      <c r="C381" s="69" t="str">
        <f>IF('AV 2'!L57="Não",'AV 2'!K57,"-")</f>
        <v>-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80" t="str">
        <f>IF('AV 2'!L58="Às vezes",'AV 2'!K58,"-")</f>
        <v>-</v>
      </c>
      <c r="C382" s="69" t="str">
        <f>IF('AV 2'!L58="Não",'AV 2'!K58,"-")</f>
        <v>-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80" t="str">
        <f>IF('AV 2'!L59="Às vezes",'AV 2'!K59,"-")</f>
        <v>-</v>
      </c>
      <c r="C383" s="69" t="str">
        <f>IF('AV 2'!L59="Não",'AV 2'!K59,"-")</f>
        <v>-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80" t="str">
        <f>IF('AV 2'!L60="Às vezes",'AV 2'!K60,"-")</f>
        <v>-</v>
      </c>
      <c r="C384" s="69" t="str">
        <f>IF('AV 2'!L60="Não",'AV 2'!K60,"-")</f>
        <v>-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80" t="str">
        <f>IF('AV 2'!L61="Às vezes",'AV 2'!K61,"-")</f>
        <v>-</v>
      </c>
      <c r="C385" s="69" t="str">
        <f>IF('AV 2'!L61="Não",'AV 2'!K61,"-")</f>
        <v>-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80" t="str">
        <f>IF('AV 2'!L62="Às vezes",'AV 2'!K62,"-")</f>
        <v>-</v>
      </c>
      <c r="C386" s="69" t="str">
        <f>IF('AV 2'!L62="Não",'AV 2'!K62,"-")</f>
        <v>-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80" t="str">
        <f>IF('AV 2'!L63="Às vezes",'AV 2'!K63,"-")</f>
        <v>-</v>
      </c>
      <c r="C387" s="69" t="str">
        <f>IF('AV 2'!L63="Não",'AV 2'!K63,"-")</f>
        <v>-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80" t="str">
        <f>IF('AV 2'!L64="Às vezes",'AV 2'!K64,"-")</f>
        <v>-</v>
      </c>
      <c r="C388" s="69" t="str">
        <f>IF('AV 2'!L64="Não",'AV 2'!K64,"-")</f>
        <v>-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80" t="str">
        <f>IF('AV 2'!L65="Às vezes",'AV 2'!K65,"-")</f>
        <v>-</v>
      </c>
      <c r="C389" s="69" t="str">
        <f>IF('AV 2'!L65="Não",'AV 2'!K65,"-")</f>
        <v>-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80" t="str">
        <f>IF('AV 2'!L66="Às vezes",'AV 2'!K66,"-")</f>
        <v>-</v>
      </c>
      <c r="C390" s="69" t="str">
        <f>IF('AV 2'!L66="Não",'AV 2'!K66,"-")</f>
        <v>-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80" t="str">
        <f>IF('AV 2'!L67="Às vezes",'AV 2'!K67,"-")</f>
        <v>-</v>
      </c>
      <c r="C391" s="69" t="str">
        <f>IF('AV 2'!L67="Não",'AV 2'!K67,"-")</f>
        <v>-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80" t="str">
        <f>IF('AV 2'!L68="Às vezes",'AV 2'!K68,"-")</f>
        <v>-</v>
      </c>
      <c r="C392" s="69" t="str">
        <f>IF('AV 2'!L68="Não",'AV 2'!K68,"-")</f>
        <v>-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80" t="str">
        <f>IF('AV 2'!L69="Às vezes",'AV 2'!K69,"-")</f>
        <v>-</v>
      </c>
      <c r="C393" s="69" t="str">
        <f>IF('AV 2'!L69="Não",'AV 2'!K69,"-")</f>
        <v>-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80" t="str">
        <f>IF('AV 2'!L70="Às vezes",'AV 2'!K70,"-")</f>
        <v>-</v>
      </c>
      <c r="C394" s="69" t="str">
        <f>IF('AV 2'!L70="Não",'AV 2'!K70,"-")</f>
        <v>-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80" t="str">
        <f>IF('AV 2'!L71="Às vezes",'AV 2'!K71,"-")</f>
        <v>-</v>
      </c>
      <c r="C395" s="69" t="str">
        <f>IF('AV 2'!L71="Não",'AV 2'!K71,"-")</f>
        <v>-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80" t="str">
        <f>IF('AV 2'!L72="Às vezes",'AV 2'!K72,"-")</f>
        <v>-</v>
      </c>
      <c r="C396" s="69" t="str">
        <f>IF('AV 2'!L72="Não",'AV 2'!K72,"-")</f>
        <v>-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80" t="str">
        <f>IF('AV 2'!L73="Às vezes",'AV 2'!K73,"-")</f>
        <v>-</v>
      </c>
      <c r="C397" s="69" t="str">
        <f>IF('AV 2'!L73="Não",'AV 2'!K73,"-")</f>
        <v>-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80" t="str">
        <f>IF('AV 2'!L74="Às vezes",'AV 2'!K74,"-")</f>
        <v>-</v>
      </c>
      <c r="C398" s="69" t="str">
        <f>IF('AV 2'!L74="Não",'AV 2'!K74,"-")</f>
        <v>-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80" t="str">
        <f>IF('AV 2'!L75="Às vezes",'AV 2'!K75,"-")</f>
        <v>-</v>
      </c>
      <c r="C399" s="69" t="str">
        <f>IF('AV 2'!L75="Não",'AV 2'!K75,"-")</f>
        <v>-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80" t="str">
        <f>IF('AV 2'!L76="Às vezes",'AV 2'!K76,"-")</f>
        <v>-</v>
      </c>
      <c r="C400" s="69" t="str">
        <f>IF('AV 2'!L76="Não",'AV 2'!K76,"-")</f>
        <v>-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80" t="str">
        <f>IF('AV 2'!L77="Às vezes",'AV 2'!K77,"-")</f>
        <v>-</v>
      </c>
      <c r="C401" s="69" t="str">
        <f>IF('AV 2'!L77="Não",'AV 2'!K77,"-")</f>
        <v>-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80" t="str">
        <f>IF('AV 2'!L78="Às vezes",'AV 2'!K78,"-")</f>
        <v>-</v>
      </c>
      <c r="C402" s="69" t="str">
        <f>IF('AV 2'!L78="Não",'AV 2'!K78,"-")</f>
        <v>-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80" t="str">
        <f>IF('AV 2'!L79="Às vezes",'AV 2'!K79,"-")</f>
        <v>-</v>
      </c>
      <c r="C403" s="69" t="str">
        <f>IF('AV 2'!L79="Não",'AV 2'!K79,"-")</f>
        <v>-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80" t="str">
        <f>IF('AV 2'!L80="Às vezes",'AV 2'!K80,"-")</f>
        <v>-</v>
      </c>
      <c r="C404" s="69" t="str">
        <f>IF('AV 2'!L80="Não",'AV 2'!K80,"-")</f>
        <v>-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80" t="str">
        <f>IF('AV 2'!L81="Às vezes",'AV 2'!K81,"-")</f>
        <v>-</v>
      </c>
      <c r="C405" s="69" t="str">
        <f>IF('AV 2'!L81="Não",'AV 2'!K81,"-")</f>
        <v>-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80" t="str">
        <f>IF('AV 2'!L82="Às vezes",'AV 2'!K82,"-")</f>
        <v>-</v>
      </c>
      <c r="C406" s="69" t="str">
        <f>IF('AV 2'!L82="Não",'AV 2'!K82,"-")</f>
        <v>-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80" t="str">
        <f>IF('AV 2'!L83="Às vezes",'AV 2'!K83,"-")</f>
        <v>-</v>
      </c>
      <c r="C407" s="69" t="str">
        <f>IF('AV 2'!L83="Não",'AV 2'!K83,"-")</f>
        <v>-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80" t="str">
        <f>IF('AV 2'!L84="Às vezes",'AV 2'!K84,"-")</f>
        <v>-</v>
      </c>
      <c r="C408" s="69" t="str">
        <f>IF('AV 2'!L84="Não",'AV 2'!K84,"-")</f>
        <v>-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80" t="str">
        <f>IF('AV 2'!L85="Às vezes",'AV 2'!K85,"-")</f>
        <v>-</v>
      </c>
      <c r="C409" s="69" t="str">
        <f>IF('AV 2'!L85="Não",'AV 2'!K85,"-")</f>
        <v>-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80" t="str">
        <f>IF('AV 2'!L86="Às vezes",'AV 2'!K86,"-")</f>
        <v>-</v>
      </c>
      <c r="C410" s="69" t="str">
        <f>IF('AV 2'!L86="Não",'AV 2'!K86,"-")</f>
        <v>-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80" t="str">
        <f>IF('AV 2'!L87="Às vezes",'AV 2'!K87,"-")</f>
        <v>-</v>
      </c>
      <c r="C411" s="69" t="str">
        <f>IF('AV 2'!L87="Não",'AV 2'!K87,"-")</f>
        <v>-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80" t="str">
        <f>IF('AV 2'!L88="Às vezes",'AV 2'!K88,"-")</f>
        <v>-</v>
      </c>
      <c r="C412" s="69" t="str">
        <f>IF('AV 2'!L88="Não",'AV 2'!K88,"-")</f>
        <v>-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80" t="str">
        <f>IF('AV 2'!L89="Às vezes",'AV 2'!K89,"-")</f>
        <v>-</v>
      </c>
      <c r="C413" s="69" t="str">
        <f>IF('AV 2'!L89="Não",'AV 2'!K89,"-")</f>
        <v>-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80" t="str">
        <f>IF('AV 2'!L90="Às vezes",'AV 2'!K90,"-")</f>
        <v>-</v>
      </c>
      <c r="C414" s="69" t="str">
        <f>IF('AV 2'!L90="Não",'AV 2'!K90,"-")</f>
        <v>-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80" t="str">
        <f>IF('AV 2'!L91="Às vezes",'AV 2'!K91,"-")</f>
        <v>-</v>
      </c>
      <c r="C415" s="69" t="str">
        <f>IF('AV 2'!L91="Não",'AV 2'!K91,"-")</f>
        <v>-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80" t="str">
        <f>IF('AV 2'!L92="Às vezes",'AV 2'!K92,"-")</f>
        <v>-</v>
      </c>
      <c r="C416" s="69" t="str">
        <f>IF('AV 2'!L92="Não",'AV 2'!K92,"-")</f>
        <v>-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80" t="str">
        <f>IF('AV 2'!L93="Às vezes",'AV 2'!K93,"-")</f>
        <v>-</v>
      </c>
      <c r="C417" s="69" t="str">
        <f>IF('AV 2'!L93="Não",'AV 2'!K93,"-")</f>
        <v>-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80" t="str">
        <f>IF('AV 2'!L94="Às vezes",'AV 2'!K94,"-")</f>
        <v>-</v>
      </c>
      <c r="C418" s="69" t="str">
        <f>IF('AV 2'!L94="Não",'AV 2'!K94,"-")</f>
        <v>-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80" t="str">
        <f>IF('AV 2'!L95="Às vezes",'AV 2'!K95,"-")</f>
        <v>-</v>
      </c>
      <c r="C419" s="69" t="str">
        <f>IF('AV 2'!L95="Não",'AV 2'!K95,"-")</f>
        <v>-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80" t="str">
        <f>IF('AV 2'!L96="Às vezes",'AV 2'!K96,"-")</f>
        <v>-</v>
      </c>
      <c r="C420" s="69" t="str">
        <f>IF('AV 2'!L96="Não",'AV 2'!K96,"-")</f>
        <v>-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80" t="str">
        <f>IF('AV 2'!L97="Às vezes",'AV 2'!K97,"-")</f>
        <v>-</v>
      </c>
      <c r="C421" s="69" t="str">
        <f>IF('AV 2'!L97="Não",'AV 2'!K97,"-")</f>
        <v>-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80" t="str">
        <f>IF('AV 2'!L98="Às vezes",'AV 2'!K98,"-")</f>
        <v>-</v>
      </c>
      <c r="C422" s="69" t="str">
        <f>IF('AV 2'!L98="Não",'AV 2'!K98,"-")</f>
        <v>-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80" t="str">
        <f>IF('AV 2'!L99="Às vezes",'AV 2'!K99,"-")</f>
        <v>-</v>
      </c>
      <c r="C423" s="69" t="str">
        <f>IF('AV 2'!L99="Não",'AV 2'!K99,"-")</f>
        <v>-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80" t="str">
        <f>IF('AV 2'!L100="Às vezes",'AV 2'!K100,"-")</f>
        <v>-</v>
      </c>
      <c r="C424" s="69" t="str">
        <f>IF('AV 2'!L100="Não",'AV 2'!K100,"-")</f>
        <v>-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80" t="str">
        <f>IF('AV 2'!L101="Às vezes",'AV 2'!K101,"-")</f>
        <v>-</v>
      </c>
      <c r="C425" s="69" t="str">
        <f>IF('AV 2'!L101="Não",'AV 2'!K101,"-")</f>
        <v>-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80" t="str">
        <f>IF('AV 2'!L102="Às vezes",'AV 2'!K102,"-")</f>
        <v>-</v>
      </c>
      <c r="C426" s="69" t="str">
        <f>IF('AV 2'!L102="Não",'AV 2'!K102,"-")</f>
        <v>-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80" t="str">
        <f>IF('AV 2'!L103="Às vezes",'AV 2'!K103,"-")</f>
        <v>-</v>
      </c>
      <c r="C427" s="69" t="str">
        <f>IF('AV 2'!L103="Não",'AV 2'!K103,"-")</f>
        <v>-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80" t="str">
        <f>IF('AV 2'!L104="Às vezes",'AV 2'!K104,"-")</f>
        <v>-</v>
      </c>
      <c r="C428" s="69" t="str">
        <f>IF('AV 2'!L104="Não",'AV 2'!K104,"-")</f>
        <v>-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80" t="str">
        <f>IF('AV 2'!L105="Às vezes",'AV 2'!K105,"-")</f>
        <v>-</v>
      </c>
      <c r="C429" s="69" t="str">
        <f>IF('AV 2'!L105="Não",'AV 2'!K105,"-")</f>
        <v>-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80" t="str">
        <f>IF('AV 2'!L106="Às vezes",'AV 2'!K106,"-")</f>
        <v>-</v>
      </c>
      <c r="C430" s="69" t="str">
        <f>IF('AV 2'!L106="Não",'AV 2'!K106,"-")</f>
        <v>-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80" t="str">
        <f>IF('AV 2'!L107="Às vezes",'AV 2'!K107,"-")</f>
        <v>-</v>
      </c>
      <c r="C431" s="69" t="str">
        <f>IF('AV 2'!L107="Não",'AV 2'!K107,"-")</f>
        <v>-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80" t="str">
        <f>IF('AV 2'!L108="Às vezes",'AV 2'!K108,"-")</f>
        <v>-</v>
      </c>
      <c r="C432" s="69" t="str">
        <f>IF('AV 2'!L108="Não",'AV 2'!K108,"-")</f>
        <v>-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80" t="str">
        <f>IF('AV 2'!L109="Às vezes",'AV 2'!K109,"-")</f>
        <v>-</v>
      </c>
      <c r="C433" s="69" t="str">
        <f>IF('AV 2'!L109="Não",'AV 2'!K109,"-")</f>
        <v>-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80" t="str">
        <f>IF('AV 2'!L110="Às vezes",'AV 2'!K110,"-")</f>
        <v>-</v>
      </c>
      <c r="C434" s="69" t="str">
        <f>IF('AV 2'!L110="Não",'AV 2'!K110,"-")</f>
        <v>-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80" t="str">
        <f>IF('AV 2'!L111="Às vezes",'AV 2'!K111,"-")</f>
        <v>-</v>
      </c>
      <c r="C435" s="69" t="str">
        <f>IF('AV 2'!L111="Não",'AV 2'!K111,"-")</f>
        <v>-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80" t="str">
        <f>IF('AV 2'!L112="Às vezes",'AV 2'!K112,"-")</f>
        <v>-</v>
      </c>
      <c r="C436" s="69" t="str">
        <f>IF('AV 2'!L112="Não",'AV 2'!K112,"-")</f>
        <v>-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80" t="str">
        <f>IF('AV 2'!L113="Às vezes",'AV 2'!K113,"-")</f>
        <v>-</v>
      </c>
      <c r="C437" s="69" t="str">
        <f>IF('AV 2'!L113="Não",'AV 2'!K113,"-")</f>
        <v>-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80" t="str">
        <f>IF('AV 2'!L114="Às vezes",'AV 2'!K114,"-")</f>
        <v>-</v>
      </c>
      <c r="C438" s="69" t="str">
        <f>IF('AV 2'!L114="Não",'AV 2'!K114,"-")</f>
        <v>-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80" t="str">
        <f>IF('AV 2'!L115="Às vezes",'AV 2'!K115,"-")</f>
        <v>-</v>
      </c>
      <c r="C439" s="69" t="str">
        <f>IF('AV 2'!L115="Não",'AV 2'!K115,"-")</f>
        <v>-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80" t="str">
        <f>IF('AV 2'!L116="Às vezes",'AV 2'!K116,"-")</f>
        <v>-</v>
      </c>
      <c r="C440" s="69" t="str">
        <f>IF('AV 2'!L116="Não",'AV 2'!K116,"-")</f>
        <v>-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80" t="str">
        <f>IF('AV 2'!L117="Às vezes",'AV 2'!K117,"-")</f>
        <v>-</v>
      </c>
      <c r="C441" s="69" t="str">
        <f>IF('AV 2'!L117="Não",'AV 2'!K117,"-")</f>
        <v>-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80" t="str">
        <f>IF('AV 2'!L118="Às vezes",'AV 2'!K118,"-")</f>
        <v>-</v>
      </c>
      <c r="C442" s="69" t="str">
        <f>IF('AV 2'!L118="Não",'AV 2'!K118,"-")</f>
        <v>-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80" t="str">
        <f>IF('AV 2'!L119="Às vezes",'AV 2'!K119,"-")</f>
        <v>-</v>
      </c>
      <c r="C443" s="69" t="str">
        <f>IF('AV 2'!L119="Não",'AV 2'!K119,"-")</f>
        <v>-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80" t="str">
        <f>IF('AV 2'!L120="Às vezes",'AV 2'!K120,"-")</f>
        <v>-</v>
      </c>
      <c r="C444" s="69" t="str">
        <f>IF('AV 2'!L120="Não",'AV 2'!K120,"-")</f>
        <v>-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80" t="str">
        <f>IF('AV 2'!L121="Às vezes",'AV 2'!K121,"-")</f>
        <v>-</v>
      </c>
      <c r="C445" s="69" t="str">
        <f>IF('AV 2'!L121="Não",'AV 2'!K121,"-")</f>
        <v>-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80" t="str">
        <f>IF('AV 2'!L122="Às vezes",'AV 2'!K122,"-")</f>
        <v>-</v>
      </c>
      <c r="C446" s="69" t="str">
        <f>IF('AV 2'!L122="Não",'AV 2'!K122,"-")</f>
        <v>-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80" t="str">
        <f>IF('AV 2'!L123="Às vezes",'AV 2'!K123,"-")</f>
        <v>-</v>
      </c>
      <c r="C447" s="69" t="str">
        <f>IF('AV 2'!L123="Não",'AV 2'!K123,"-")</f>
        <v>-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80" t="str">
        <f>IF('AV 2'!L124="Às vezes",'AV 2'!K124,"-")</f>
        <v>-</v>
      </c>
      <c r="C448" s="69" t="str">
        <f>IF('AV 2'!L124="Não",'AV 2'!K124,"-")</f>
        <v>-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80" t="str">
        <f>IF('AV 2'!L125="Às vezes",'AV 2'!K125,"-")</f>
        <v>-</v>
      </c>
      <c r="C449" s="69" t="str">
        <f>IF('AV 2'!L125="Não",'AV 2'!K125,"-")</f>
        <v>-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80" t="str">
        <f>IF('AV 2'!L126="Às vezes",'AV 2'!K126,"-")</f>
        <v>-</v>
      </c>
      <c r="C450" s="69" t="str">
        <f>IF('AV 2'!L126="Não",'AV 2'!K126,"-")</f>
        <v>-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80" t="str">
        <f>IF('AV 2'!L127="Às vezes",'AV 2'!K127,"-")</f>
        <v>-</v>
      </c>
      <c r="C451" s="69" t="str">
        <f>IF('AV 2'!L127="Não",'AV 2'!K127,"-")</f>
        <v>-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79" t="s">
        <v>13</v>
      </c>
      <c r="C452" s="79" t="s">
        <v>13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80" t="str">
        <f>IF('AV 2'!O13="Às vezes",'AV 2'!N13,"-")</f>
        <v>-</v>
      </c>
      <c r="C453" s="69" t="str">
        <f>IF('AV 2'!O13="Não",'AV 2'!N13,"-")</f>
        <v>-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80" t="str">
        <f>IF('AV 2'!O14="Às vezes",'AV 2'!N14,"-")</f>
        <v>-</v>
      </c>
      <c r="C454" s="69" t="str">
        <f>IF('AV 2'!O14="Não",'AV 2'!N14,"-")</f>
        <v>-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80" t="str">
        <f>IF('AV 2'!O15="Às vezes",'AV 2'!N15,"-")</f>
        <v>-</v>
      </c>
      <c r="C455" s="69" t="str">
        <f>IF('AV 2'!O15="Não",'AV 2'!N15,"-")</f>
        <v>-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80" t="str">
        <f>IF('AV 2'!O16="Às vezes",'AV 2'!N16,"-")</f>
        <v>-</v>
      </c>
      <c r="C456" s="69" t="str">
        <f>IF('AV 2'!O16="Não",'AV 2'!N16,"-")</f>
        <v>-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80" t="str">
        <f>IF('AV 2'!O17="Às vezes",'AV 2'!N17,"-")</f>
        <v>-</v>
      </c>
      <c r="C457" s="69" t="str">
        <f>IF('AV 2'!O17="Não",'AV 2'!N17,"-")</f>
        <v>-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80" t="str">
        <f>IF('AV 2'!O18="Às vezes",'AV 2'!N18,"-")</f>
        <v>-</v>
      </c>
      <c r="C458" s="69" t="str">
        <f>IF('AV 2'!O18="Não",'AV 2'!N18,"-")</f>
        <v>-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80" t="str">
        <f>IF('AV 2'!O19="Às vezes",'AV 2'!N19,"-")</f>
        <v>-</v>
      </c>
      <c r="C459" s="69" t="str">
        <f>IF('AV 2'!O19="Não",'AV 2'!N19,"-")</f>
        <v>-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80" t="str">
        <f>IF('AV 2'!O20="Às vezes",'AV 2'!N20,"-")</f>
        <v>-</v>
      </c>
      <c r="C460" s="69" t="str">
        <f>IF('AV 2'!O20="Não",'AV 2'!N20,"-")</f>
        <v>-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80" t="str">
        <f>IF('AV 2'!O21="Às vezes",'AV 2'!N21,"-")</f>
        <v>-</v>
      </c>
      <c r="C461" s="69" t="str">
        <f>IF('AV 2'!O21="Não",'AV 2'!N21,"-")</f>
        <v>-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80" t="str">
        <f>IF('AV 2'!O22="Às vezes",'AV 2'!N22,"-")</f>
        <v>-</v>
      </c>
      <c r="C462" s="69" t="str">
        <f>IF('AV 2'!O22="Não",'AV 2'!N22,"-")</f>
        <v>-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80" t="str">
        <f>IF('AV 2'!O23="Às vezes",'AV 2'!N23,"-")</f>
        <v>-</v>
      </c>
      <c r="C463" s="69" t="str">
        <f>IF('AV 2'!O23="Não",'AV 2'!N23,"-")</f>
        <v>-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6.25" customHeight="1">
      <c r="A464" s="1"/>
      <c r="B464" s="80" t="str">
        <f>IF('AV 2'!O24="Às vezes",'AV 2'!N24,"-")</f>
        <v>-</v>
      </c>
      <c r="C464" s="69" t="str">
        <f>IF('AV 2'!O24="Não",'AV 2'!N24,"-")</f>
        <v>-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80" t="str">
        <f>IF('AV 2'!O25="Às vezes",'AV 2'!N25,"-")</f>
        <v>-</v>
      </c>
      <c r="C465" s="69" t="str">
        <f>IF('AV 2'!O25="Não",'AV 2'!N25,"-")</f>
        <v>-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80" t="str">
        <f>IF('AV 2'!O26="Às vezes",'AV 2'!N26,"-")</f>
        <v>-</v>
      </c>
      <c r="C466" s="69" t="str">
        <f>IF('AV 2'!O26="Não",'AV 2'!N26,"-")</f>
        <v>-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80" t="str">
        <f>IF('AV 2'!O27="Às vezes",'AV 2'!N27,"-")</f>
        <v>-</v>
      </c>
      <c r="C467" s="69" t="str">
        <f>IF('AV 2'!O27="Não",'AV 2'!N27,"-")</f>
        <v>-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80" t="str">
        <f>IF('AV 2'!O28="Às vezes",'AV 2'!N28,"-")</f>
        <v>-</v>
      </c>
      <c r="C468" s="69" t="str">
        <f>IF('AV 2'!O28="Não",'AV 2'!N28,"-")</f>
        <v>-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80" t="str">
        <f>IF('AV 2'!O29="Às vezes",'AV 2'!N29,"-")</f>
        <v>-</v>
      </c>
      <c r="C469" s="69" t="str">
        <f>IF('AV 2'!O29="Não",'AV 2'!N29,"-")</f>
        <v>-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80" t="str">
        <f>IF('AV 2'!O30="Às vezes",'AV 2'!N30,"-")</f>
        <v>-</v>
      </c>
      <c r="C470" s="69" t="str">
        <f>IF('AV 2'!O30="Não",'AV 2'!N30,"-")</f>
        <v>-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80" t="str">
        <f>IF('AV 2'!O31="Às vezes",'AV 2'!N31,"-")</f>
        <v>-</v>
      </c>
      <c r="C471" s="69" t="str">
        <f>IF('AV 2'!O31="Não",'AV 2'!N31,"-")</f>
        <v>-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80" t="str">
        <f>IF('AV 2'!O32="Às vezes",'AV 2'!N32,"-")</f>
        <v>-</v>
      </c>
      <c r="C472" s="69" t="str">
        <f>IF('AV 2'!O32="Não",'AV 2'!N32,"-")</f>
        <v>-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80" t="str">
        <f>IF('AV 2'!O33="Às vezes",'AV 2'!N33,"-")</f>
        <v>-</v>
      </c>
      <c r="C473" s="69" t="str">
        <f>IF('AV 2'!O33="Não",'AV 2'!N33,"-")</f>
        <v>-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80" t="str">
        <f>IF('AV 2'!O34="Às vezes",'AV 2'!N34,"-")</f>
        <v>-</v>
      </c>
      <c r="C474" s="69" t="str">
        <f>IF('AV 2'!O34="Não",'AV 2'!N34,"-")</f>
        <v>-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80" t="str">
        <f>IF('AV 2'!O35="Às vezes",'AV 2'!N35,"-")</f>
        <v>-</v>
      </c>
      <c r="C475" s="69" t="str">
        <f>IF('AV 2'!O35="Não",'AV 2'!N35,"-")</f>
        <v>-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80" t="str">
        <f>IF('AV 2'!O36="Às vezes",'AV 2'!N36,"-")</f>
        <v>-</v>
      </c>
      <c r="C476" s="69" t="str">
        <f>IF('AV 2'!O36="Não",'AV 2'!N36,"-")</f>
        <v>-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80" t="str">
        <f>IF('AV 2'!O37="Às vezes",'AV 2'!N37,"-")</f>
        <v>-</v>
      </c>
      <c r="C477" s="69" t="str">
        <f>IF('AV 2'!O37="Não",'AV 2'!N37,"-")</f>
        <v>-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80" t="str">
        <f>IF('AV 2'!O38="Às vezes",'AV 2'!N38,"-")</f>
        <v>-</v>
      </c>
      <c r="C478" s="69" t="str">
        <f>IF('AV 2'!O38="Não",'AV 2'!N38,"-")</f>
        <v>-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80" t="str">
        <f>IF('AV 2'!O39="Às vezes",'AV 2'!N39,"-")</f>
        <v>-</v>
      </c>
      <c r="C479" s="69" t="str">
        <f>IF('AV 2'!O39="Não",'AV 2'!N39,"-")</f>
        <v>-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80" t="str">
        <f>IF('AV 2'!O40="Às vezes",'AV 2'!N40,"-")</f>
        <v>-</v>
      </c>
      <c r="C480" s="69" t="str">
        <f>IF('AV 2'!O40="Não",'AV 2'!N40,"-")</f>
        <v>-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80" t="str">
        <f>IF('AV 2'!O41="Às vezes",'AV 2'!N41,"-")</f>
        <v>-</v>
      </c>
      <c r="C481" s="69" t="str">
        <f>IF('AV 2'!O41="Não",'AV 2'!N41,"-")</f>
        <v>-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80" t="str">
        <f>IF('AV 2'!O42="Às vezes",'AV 2'!N42,"-")</f>
        <v>-</v>
      </c>
      <c r="C482" s="69" t="str">
        <f>IF('AV 2'!O42="Não",'AV 2'!N42,"-")</f>
        <v>-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80" t="str">
        <f>IF('AV 2'!O43="Às vezes",'AV 2'!N43,"-")</f>
        <v>-</v>
      </c>
      <c r="C483" s="69" t="str">
        <f>IF('AV 2'!O43="Não",'AV 2'!N43,"-")</f>
        <v>-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80" t="str">
        <f>IF('AV 2'!O44="Às vezes",'AV 2'!N44,"-")</f>
        <v>-</v>
      </c>
      <c r="C484" s="69" t="str">
        <f>IF('AV 2'!O44="Não",'AV 2'!N44,"-")</f>
        <v>-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80" t="str">
        <f>IF('AV 2'!O45="Às vezes",'AV 2'!N45,"-")</f>
        <v>-</v>
      </c>
      <c r="C485" s="69" t="str">
        <f>IF('AV 2'!O45="Não",'AV 2'!N45,"-")</f>
        <v>-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80" t="str">
        <f>IF('AV 2'!O46="Às vezes",'AV 2'!N46,"-")</f>
        <v>-</v>
      </c>
      <c r="C486" s="69" t="str">
        <f>IF('AV 2'!O46="Não",'AV 2'!N46,"-")</f>
        <v>-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80" t="str">
        <f>IF('AV 2'!O47="Às vezes",'AV 2'!N47,"-")</f>
        <v>-</v>
      </c>
      <c r="C487" s="69" t="str">
        <f>IF('AV 2'!O47="Não",'AV 2'!N47,"-")</f>
        <v>-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80" t="str">
        <f>IF('AV 2'!O48="Às vezes",'AV 2'!N48,"-")</f>
        <v>-</v>
      </c>
      <c r="C488" s="69" t="str">
        <f>IF('AV 2'!O48="Não",'AV 2'!N48,"-")</f>
        <v>-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80" t="str">
        <f>IF('AV 2'!O49="Às vezes",'AV 2'!N49,"-")</f>
        <v>-</v>
      </c>
      <c r="C489" s="69" t="str">
        <f>IF('AV 2'!O49="Não",'AV 2'!N49,"-")</f>
        <v>-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80" t="str">
        <f>IF('AV 2'!O50="Às vezes",'AV 2'!N50,"-")</f>
        <v>-</v>
      </c>
      <c r="C490" s="69" t="str">
        <f>IF('AV 2'!O50="Não",'AV 2'!N50,"-")</f>
        <v>-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80" t="str">
        <f>IF('AV 2'!O51="Às vezes",'AV 2'!N51,"-")</f>
        <v>-</v>
      </c>
      <c r="C491" s="69" t="str">
        <f>IF('AV 2'!O51="Não",'AV 2'!N51,"-")</f>
        <v>-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80" t="str">
        <f>IF('AV 2'!O52="Às vezes",'AV 2'!N52,"-")</f>
        <v>-</v>
      </c>
      <c r="C492" s="69" t="str">
        <f>IF('AV 2'!O52="Não",'AV 2'!N52,"-")</f>
        <v>-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80" t="str">
        <f>IF('AV 2'!O53="Às vezes",'AV 2'!N53,"-")</f>
        <v>-</v>
      </c>
      <c r="C493" s="69" t="str">
        <f>IF('AV 2'!O53="Não",'AV 2'!N53,"-")</f>
        <v>-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80" t="str">
        <f>IF('AV 2'!O54="Às vezes",'AV 2'!N54,"-")</f>
        <v>-</v>
      </c>
      <c r="C494" s="69" t="str">
        <f>IF('AV 2'!O54="Não",'AV 2'!N54,"-")</f>
        <v>-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80" t="str">
        <f>IF('AV 2'!O55="Às vezes",'AV 2'!N55,"-")</f>
        <v>-</v>
      </c>
      <c r="C495" s="69" t="str">
        <f>IF('AV 2'!O55="Não",'AV 2'!N55,"-")</f>
        <v>-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80" t="str">
        <f>IF('AV 2'!O56="Às vezes",'AV 2'!N56,"-")</f>
        <v>-</v>
      </c>
      <c r="C496" s="69" t="str">
        <f>IF('AV 2'!O56="Não",'AV 2'!N56,"-")</f>
        <v>-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80" t="str">
        <f>IF('AV 2'!O57="Às vezes",'AV 2'!N57,"-")</f>
        <v>-</v>
      </c>
      <c r="C497" s="69" t="str">
        <f>IF('AV 2'!O57="Não",'AV 2'!N57,"-")</f>
        <v>-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80" t="str">
        <f>IF('AV 2'!O58="Às vezes",'AV 2'!N58,"-")</f>
        <v>-</v>
      </c>
      <c r="C498" s="69" t="str">
        <f>IF('AV 2'!O58="Não",'AV 2'!N58,"-")</f>
        <v>-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80" t="str">
        <f>IF('AV 2'!O59="Às vezes",'AV 2'!N59,"-")</f>
        <v>-</v>
      </c>
      <c r="C499" s="69" t="str">
        <f>IF('AV 2'!O59="Não",'AV 2'!N59,"-")</f>
        <v>-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80" t="str">
        <f>IF('AV 2'!O60="Às vezes",'AV 2'!N60,"-")</f>
        <v>-</v>
      </c>
      <c r="C500" s="69" t="str">
        <f>IF('AV 2'!O60="Não",'AV 2'!N60,"-")</f>
        <v>-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80" t="str">
        <f>IF('AV 2'!O61="Às vezes",'AV 2'!N61,"-")</f>
        <v>-</v>
      </c>
      <c r="C501" s="69" t="str">
        <f>IF('AV 2'!O61="Não",'AV 2'!N61,"-")</f>
        <v>-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80" t="str">
        <f>IF('AV 2'!O62="Às vezes",'AV 2'!N62,"-")</f>
        <v>-</v>
      </c>
      <c r="C502" s="69" t="str">
        <f>IF('AV 2'!O62="Não",'AV 2'!N62,"-")</f>
        <v>-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80" t="str">
        <f>IF('AV 2'!O63="Às vezes",'AV 2'!N63,"-")</f>
        <v>-</v>
      </c>
      <c r="C503" s="69" t="str">
        <f>IF('AV 2'!O63="Não",'AV 2'!N63,"-")</f>
        <v>-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80" t="str">
        <f>IF('AV 2'!O64="Às vezes",'AV 2'!N64,"-")</f>
        <v>-</v>
      </c>
      <c r="C504" s="69" t="str">
        <f>IF('AV 2'!O64="Não",'AV 2'!N64,"-")</f>
        <v>-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80" t="str">
        <f>IF('AV 2'!O65="Às vezes",'AV 2'!N65,"-")</f>
        <v>-</v>
      </c>
      <c r="C505" s="69" t="str">
        <f>IF('AV 2'!O65="Não",'AV 2'!N65,"-")</f>
        <v>-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80" t="str">
        <f>IF('AV 2'!O66="Às vezes",'AV 2'!N66,"-")</f>
        <v>-</v>
      </c>
      <c r="C506" s="69" t="str">
        <f>IF('AV 2'!O66="Não",'AV 2'!N66,"-")</f>
        <v>-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80" t="str">
        <f>IF('AV 2'!O67="Às vezes",'AV 2'!N67,"-")</f>
        <v>-</v>
      </c>
      <c r="C507" s="69" t="str">
        <f>IF('AV 2'!O67="Não",'AV 2'!N67,"-")</f>
        <v>-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80" t="str">
        <f>IF('AV 2'!O68="Às vezes",'AV 2'!N68,"-")</f>
        <v>-</v>
      </c>
      <c r="C508" s="69" t="str">
        <f>IF('AV 2'!O68="Não",'AV 2'!N68,"-")</f>
        <v>-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80" t="str">
        <f>IF('AV 2'!O69="Às vezes",'AV 2'!N69,"-")</f>
        <v>-</v>
      </c>
      <c r="C509" s="69" t="str">
        <f>IF('AV 2'!O69="Não",'AV 2'!N69,"-")</f>
        <v>-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80" t="str">
        <f>IF('AV 2'!O70="Às vezes",'AV 2'!N70,"-")</f>
        <v>-</v>
      </c>
      <c r="C510" s="69" t="str">
        <f>IF('AV 2'!O70="Não",'AV 2'!N70,"-")</f>
        <v>-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80" t="str">
        <f>IF('AV 2'!O71="Às vezes",'AV 2'!N71,"-")</f>
        <v>-</v>
      </c>
      <c r="C511" s="69" t="str">
        <f>IF('AV 2'!O71="Não",'AV 2'!N71,"-")</f>
        <v>-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80" t="str">
        <f>IF('AV 2'!O72="Às vezes",'AV 2'!N72,"-")</f>
        <v>-</v>
      </c>
      <c r="C512" s="69" t="str">
        <f>IF('AV 2'!O72="Não",'AV 2'!N72,"-")</f>
        <v>-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80" t="str">
        <f>IF('AV 2'!O73="Às vezes",'AV 2'!N73,"-")</f>
        <v>-</v>
      </c>
      <c r="C513" s="69" t="str">
        <f>IF('AV 2'!O73="Não",'AV 2'!N73,"-")</f>
        <v>-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80" t="str">
        <f>IF('AV 2'!O74="Às vezes",'AV 2'!N74,"-")</f>
        <v>-</v>
      </c>
      <c r="C514" s="69" t="str">
        <f>IF('AV 2'!O74="Não",'AV 2'!N74,"-")</f>
        <v>-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80" t="str">
        <f>IF('AV 2'!O75="Às vezes",'AV 2'!N75,"-")</f>
        <v>-</v>
      </c>
      <c r="C515" s="69" t="str">
        <f>IF('AV 2'!O75="Não",'AV 2'!N75,"-")</f>
        <v>-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80" t="str">
        <f>IF('AV 2'!O76="Às vezes",'AV 2'!N76,"-")</f>
        <v>-</v>
      </c>
      <c r="C516" s="69" t="str">
        <f>IF('AV 2'!O76="Não",'AV 2'!N76,"-")</f>
        <v>-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80" t="str">
        <f>IF('AV 2'!O77="Às vezes",'AV 2'!N77,"-")</f>
        <v>-</v>
      </c>
      <c r="C517" s="69" t="str">
        <f>IF('AV 2'!O77="Não",'AV 2'!N77,"-")</f>
        <v>-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80" t="str">
        <f>IF('AV 2'!O78="Às vezes",'AV 2'!N78,"-")</f>
        <v>-</v>
      </c>
      <c r="C518" s="69" t="str">
        <f>IF('AV 2'!O78="Não",'AV 2'!N78,"-")</f>
        <v>-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80" t="str">
        <f>IF('AV 2'!O79="Às vezes",'AV 2'!N79,"-")</f>
        <v>-</v>
      </c>
      <c r="C519" s="69" t="str">
        <f>IF('AV 2'!O79="Não",'AV 2'!N79,"-")</f>
        <v>-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80" t="str">
        <f>IF('AV 2'!O80="Às vezes",'AV 2'!N80,"-")</f>
        <v>-</v>
      </c>
      <c r="C520" s="69" t="str">
        <f>IF('AV 2'!O80="Não",'AV 2'!N80,"-")</f>
        <v>-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80" t="str">
        <f>IF('AV 2'!O81="Às vezes",'AV 2'!N81,"-")</f>
        <v>-</v>
      </c>
      <c r="C521" s="69" t="str">
        <f>IF('AV 2'!O81="Não",'AV 2'!N81,"-")</f>
        <v>-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80" t="str">
        <f>IF('AV 2'!O82="Às vezes",'AV 2'!N82,"-")</f>
        <v>-</v>
      </c>
      <c r="C522" s="69" t="str">
        <f>IF('AV 2'!O82="Não",'AV 2'!N82,"-")</f>
        <v>-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80" t="str">
        <f>IF('AV 2'!O83="Às vezes",'AV 2'!N83,"-")</f>
        <v>-</v>
      </c>
      <c r="C523" s="69" t="str">
        <f>IF('AV 2'!O83="Não",'AV 2'!N83,"-")</f>
        <v>-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80" t="str">
        <f>IF('AV 2'!O84="Às vezes",'AV 2'!N84,"-")</f>
        <v>-</v>
      </c>
      <c r="C524" s="69" t="str">
        <f>IF('AV 2'!O84="Não",'AV 2'!N84,"-")</f>
        <v>-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80" t="str">
        <f>IF('AV 2'!O85="Às vezes",'AV 2'!N85,"-")</f>
        <v>-</v>
      </c>
      <c r="C525" s="69" t="str">
        <f>IF('AV 2'!O85="Não",'AV 2'!N85,"-")</f>
        <v>-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80" t="str">
        <f>IF('AV 2'!O86="Às vezes",'AV 2'!N86,"-")</f>
        <v>-</v>
      </c>
      <c r="C526" s="69" t="str">
        <f>IF('AV 2'!O86="Não",'AV 2'!N86,"-")</f>
        <v>-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80" t="str">
        <f>IF('AV 2'!O87="Às vezes",'AV 2'!N87,"-")</f>
        <v>-</v>
      </c>
      <c r="C527" s="69" t="str">
        <f>IF('AV 2'!O87="Não",'AV 2'!N87,"-")</f>
        <v>-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80" t="str">
        <f>IF('AV 2'!O88="Às vezes",'AV 2'!N88,"-")</f>
        <v>-</v>
      </c>
      <c r="C528" s="69" t="str">
        <f>IF('AV 2'!O88="Não",'AV 2'!N88,"-")</f>
        <v>-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80" t="str">
        <f>IF('AV 2'!O89="Às vezes",'AV 2'!N89,"-")</f>
        <v>-</v>
      </c>
      <c r="C529" s="69" t="str">
        <f>IF('AV 2'!O89="Não",'AV 2'!N89,"-")</f>
        <v>-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80" t="str">
        <f>IF('AV 2'!O90="Às vezes",'AV 2'!N90,"-")</f>
        <v>-</v>
      </c>
      <c r="C530" s="69" t="str">
        <f>IF('AV 2'!O90="Não",'AV 2'!N90,"-")</f>
        <v>-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80" t="str">
        <f>IF('AV 2'!O91="Às vezes",'AV 2'!N91,"-")</f>
        <v>-</v>
      </c>
      <c r="C531" s="69" t="str">
        <f>IF('AV 2'!O91="Não",'AV 2'!N91,"-")</f>
        <v>-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80" t="str">
        <f>IF('AV 2'!O92="Às vezes",'AV 2'!N92,"-")</f>
        <v>-</v>
      </c>
      <c r="C532" s="69" t="str">
        <f>IF('AV 2'!O92="Não",'AV 2'!N92,"-")</f>
        <v>-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80" t="str">
        <f>IF('AV 2'!O93="Às vezes",'AV 2'!N93,"-")</f>
        <v>-</v>
      </c>
      <c r="C533" s="69" t="str">
        <f>IF('AV 2'!O93="Não",'AV 2'!N93,"-")</f>
        <v>-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80" t="str">
        <f>IF('AV 2'!O94="Às vezes",'AV 2'!N94,"-")</f>
        <v>-</v>
      </c>
      <c r="C534" s="69" t="str">
        <f>IF('AV 2'!O94="Não",'AV 2'!N94,"-")</f>
        <v>-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80" t="str">
        <f>IF('AV 2'!O95="Às vezes",'AV 2'!N95,"-")</f>
        <v>-</v>
      </c>
      <c r="C535" s="69" t="str">
        <f>IF('AV 2'!O95="Não",'AV 2'!N95,"-")</f>
        <v>-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80" t="str">
        <f>IF('AV 2'!O96="Às vezes",'AV 2'!N96,"-")</f>
        <v>-</v>
      </c>
      <c r="C536" s="69" t="str">
        <f>IF('AV 2'!O96="Não",'AV 2'!N96,"-")</f>
        <v>-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80" t="str">
        <f>IF('AV 2'!O97="Às vezes",'AV 2'!N97,"-")</f>
        <v>-</v>
      </c>
      <c r="C537" s="69" t="str">
        <f>IF('AV 2'!O97="Não",'AV 2'!N97,"-")</f>
        <v>-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80" t="str">
        <f>IF('AV 2'!O98="Às vezes",'AV 2'!N98,"-")</f>
        <v>-</v>
      </c>
      <c r="C538" s="69" t="str">
        <f>IF('AV 2'!O98="Não",'AV 2'!N98,"-")</f>
        <v>-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80" t="str">
        <f>IF('AV 2'!O99="Às vezes",'AV 2'!N99,"-")</f>
        <v>-</v>
      </c>
      <c r="C539" s="69" t="str">
        <f>IF('AV 2'!O99="Não",'AV 2'!N99,"-")</f>
        <v>-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80" t="str">
        <f>IF('AV 2'!O100="Às vezes",'AV 2'!N100,"-")</f>
        <v>-</v>
      </c>
      <c r="C540" s="69" t="str">
        <f>IF('AV 2'!O100="Não",'AV 2'!N100,"-")</f>
        <v>-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80" t="str">
        <f>IF('AV 2'!O101="Às vezes",'AV 2'!N101,"-")</f>
        <v>-</v>
      </c>
      <c r="C541" s="69" t="str">
        <f>IF('AV 2'!O101="Não",'AV 2'!N101,"-")</f>
        <v>-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80" t="str">
        <f>IF('AV 2'!O102="Às vezes",'AV 2'!N102,"-")</f>
        <v>-</v>
      </c>
      <c r="C542" s="69" t="str">
        <f>IF('AV 2'!O102="Não",'AV 2'!N102,"-")</f>
        <v>-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80" t="str">
        <f>IF('AV 2'!O103="Às vezes",'AV 2'!N103,"-")</f>
        <v>-</v>
      </c>
      <c r="C543" s="69" t="str">
        <f>IF('AV 2'!O103="Não",'AV 2'!N103,"-")</f>
        <v>-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80" t="str">
        <f>IF('AV 2'!O104="Às vezes",'AV 2'!N104,"-")</f>
        <v>-</v>
      </c>
      <c r="C544" s="69" t="str">
        <f>IF('AV 2'!O104="Não",'AV 2'!N104,"-")</f>
        <v>-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80" t="str">
        <f>IF('AV 2'!O105="Às vezes",'AV 2'!N105,"-")</f>
        <v>-</v>
      </c>
      <c r="C545" s="69" t="str">
        <f>IF('AV 2'!O105="Não",'AV 2'!N105,"-")</f>
        <v>-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80" t="str">
        <f>IF('AV 2'!O106="Às vezes",'AV 2'!N106,"-")</f>
        <v>-</v>
      </c>
      <c r="C546" s="69" t="str">
        <f>IF('AV 2'!O106="Não",'AV 2'!N106,"-")</f>
        <v>-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80" t="str">
        <f>IF('AV 2'!O107="Às vezes",'AV 2'!N107,"-")</f>
        <v>-</v>
      </c>
      <c r="C547" s="69" t="str">
        <f>IF('AV 2'!O107="Não",'AV 2'!N107,"-")</f>
        <v>-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80" t="str">
        <f>IF('AV 2'!O108="Às vezes",'AV 2'!N108,"-")</f>
        <v>-</v>
      </c>
      <c r="C548" s="69" t="str">
        <f>IF('AV 2'!O108="Não",'AV 2'!N108,"-")</f>
        <v>-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80" t="str">
        <f>IF('AV 2'!O109="Às vezes",'AV 2'!N109,"-")</f>
        <v>-</v>
      </c>
      <c r="C549" s="69" t="str">
        <f>IF('AV 2'!O109="Não",'AV 2'!N109,"-")</f>
        <v>-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80" t="str">
        <f>IF('AV 2'!O110="Às vezes",'AV 2'!N110,"-")</f>
        <v>-</v>
      </c>
      <c r="C550" s="69" t="str">
        <f>IF('AV 2'!O110="Não",'AV 2'!N110,"-")</f>
        <v>-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80" t="str">
        <f>IF('AV 2'!O111="Às vezes",'AV 2'!N111,"-")</f>
        <v>-</v>
      </c>
      <c r="C551" s="69" t="str">
        <f>IF('AV 2'!O111="Não",'AV 2'!N111,"-")</f>
        <v>-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80" t="str">
        <f>IF('AV 2'!O112="Às vezes",'AV 2'!N112,"-")</f>
        <v>-</v>
      </c>
      <c r="C552" s="69" t="str">
        <f>IF('AV 2'!O112="Não",'AV 2'!N112,"-")</f>
        <v>-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80" t="str">
        <f>IF('AV 2'!O113="Às vezes",'AV 2'!N113,"-")</f>
        <v>-</v>
      </c>
      <c r="C553" s="69" t="str">
        <f>IF('AV 2'!O113="Não",'AV 2'!N113,"-")</f>
        <v>-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80" t="str">
        <f>IF('AV 2'!O114="Às vezes",'AV 2'!N114,"-")</f>
        <v>-</v>
      </c>
      <c r="C554" s="69" t="str">
        <f>IF('AV 2'!O114="Não",'AV 2'!N114,"-")</f>
        <v>-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80" t="str">
        <f>IF('AV 2'!O115="Às vezes",'AV 2'!N115,"-")</f>
        <v>-</v>
      </c>
      <c r="C555" s="69" t="str">
        <f>IF('AV 2'!O115="Não",'AV 2'!N115,"-")</f>
        <v>-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80" t="str">
        <f>IF('AV 2'!O116="Às vezes",'AV 2'!N116,"-")</f>
        <v>-</v>
      </c>
      <c r="C556" s="69" t="str">
        <f>IF('AV 2'!O116="Não",'AV 2'!N116,"-")</f>
        <v>-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80" t="str">
        <f>IF('AV 2'!O117="Às vezes",'AV 2'!N117,"-")</f>
        <v>-</v>
      </c>
      <c r="C557" s="69" t="str">
        <f>IF('AV 2'!O117="Não",'AV 2'!N117,"-")</f>
        <v>-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80" t="str">
        <f>IF('AV 2'!O118="Às vezes",'AV 2'!N118,"-")</f>
        <v>-</v>
      </c>
      <c r="C558" s="69" t="str">
        <f>IF('AV 2'!O118="Não",'AV 2'!N118,"-")</f>
        <v>-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80" t="str">
        <f>IF('AV 2'!O119="Às vezes",'AV 2'!N119,"-")</f>
        <v>-</v>
      </c>
      <c r="C559" s="69" t="str">
        <f>IF('AV 2'!O119="Não",'AV 2'!N119,"-")</f>
        <v>-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80" t="str">
        <f>IF('AV 2'!O120="Às vezes",'AV 2'!N120,"-")</f>
        <v>-</v>
      </c>
      <c r="C560" s="69" t="str">
        <f>IF('AV 2'!O120="Não",'AV 2'!N120,"-")</f>
        <v>-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80" t="str">
        <f>IF('AV 2'!O121="Às vezes",'AV 2'!N121,"-")</f>
        <v>-</v>
      </c>
      <c r="C561" s="69" t="str">
        <f>IF('AV 2'!O121="Não",'AV 2'!N121,"-")</f>
        <v>-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80" t="str">
        <f>IF('AV 2'!O122="Às vezes",'AV 2'!N122,"-")</f>
        <v>-</v>
      </c>
      <c r="C562" s="69" t="str">
        <f>IF('AV 2'!O122="Não",'AV 2'!N122,"-")</f>
        <v>-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80" t="str">
        <f>IF('AV 2'!O123="Às vezes",'AV 2'!N123,"-")</f>
        <v>-</v>
      </c>
      <c r="C563" s="69" t="str">
        <f>IF('AV 2'!O123="Não",'AV 2'!N123,"-")</f>
        <v>-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80" t="str">
        <f>IF('AV 2'!O124="Às vezes",'AV 2'!N124,"-")</f>
        <v>-</v>
      </c>
      <c r="C564" s="69" t="str">
        <f>IF('AV 2'!O124="Não",'AV 2'!N124,"-")</f>
        <v>-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80" t="str">
        <f>IF('AV 2'!O125="Às vezes",'AV 2'!N125,"-")</f>
        <v>-</v>
      </c>
      <c r="C565" s="69" t="str">
        <f>IF('AV 2'!O125="Não",'AV 2'!N125,"-")</f>
        <v>-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80" t="str">
        <f>IF('AV 2'!O126="Às vezes",'AV 2'!N126,"-")</f>
        <v>-</v>
      </c>
      <c r="C566" s="69" t="str">
        <f>IF('AV 2'!O126="Não",'AV 2'!N126,"-")</f>
        <v>-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80" t="str">
        <f>IF('AV 2'!O127="Às vezes",'AV 2'!N127,"-")</f>
        <v>-</v>
      </c>
      <c r="C567" s="69" t="str">
        <f>IF('AV 2'!O127="Não",'AV 2'!N127,"-")</f>
        <v>-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80" t="str">
        <f>IF('AV 2'!O128="Às vezes",'AV 2'!N128,"-")</f>
        <v>-</v>
      </c>
      <c r="C568" s="69" t="str">
        <f>IF('AV 2'!O128="Não",'AV 2'!N128,"-")</f>
        <v>-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80" t="str">
        <f>IF('AV 2'!O129="Às vezes",'AV 2'!N129,"-")</f>
        <v>-</v>
      </c>
      <c r="C569" s="69" t="str">
        <f>IF('AV 2'!O129="Não",'AV 2'!N129,"-")</f>
        <v>-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80" t="str">
        <f>IF('AV 2'!O130="Às vezes",'AV 2'!N130,"-")</f>
        <v>-</v>
      </c>
      <c r="C570" s="69" t="str">
        <f>IF('AV 2'!O130="Não",'AV 2'!N130,"-")</f>
        <v>-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80" t="str">
        <f>IF('AV 2'!O131="Às vezes",'AV 2'!N131,"-")</f>
        <v>-</v>
      </c>
      <c r="C571" s="69" t="str">
        <f>IF('AV 2'!O131="Não",'AV 2'!N131,"-")</f>
        <v>-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80" t="str">
        <f>IF('AV 2'!O132="Às vezes",'AV 2'!N132,"-")</f>
        <v>-</v>
      </c>
      <c r="C572" s="69" t="str">
        <f>IF('AV 2'!O132="Não",'AV 2'!N132,"-")</f>
        <v>-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80" t="str">
        <f>IF('AV 2'!O133="Às vezes",'AV 2'!N133,"-")</f>
        <v>-</v>
      </c>
      <c r="C573" s="69" t="str">
        <f>IF('AV 2'!O133="Não",'AV 2'!N133,"-")</f>
        <v>-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80" t="str">
        <f>IF('AV 2'!O134="Às vezes",'AV 2'!N134,"-")</f>
        <v>-</v>
      </c>
      <c r="C574" s="69" t="str">
        <f>IF('AV 2'!O134="Não",'AV 2'!N134,"-")</f>
        <v>-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80" t="str">
        <f>IF('AV 2'!O135="Às vezes",'AV 2'!N135,"-")</f>
        <v>-</v>
      </c>
      <c r="C575" s="69" t="str">
        <f>IF('AV 2'!O135="Não",'AV 2'!N135,"-")</f>
        <v>-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80" t="str">
        <f>IF('AV 2'!O136="Às vezes",'AV 2'!N136,"-")</f>
        <v>-</v>
      </c>
      <c r="C576" s="69" t="str">
        <f>IF('AV 2'!O136="Não",'AV 2'!N136,"-")</f>
        <v>-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80" t="str">
        <f>IF('AV 2'!O137="Às vezes",'AV 2'!N137,"-")</f>
        <v>-</v>
      </c>
      <c r="C577" s="69" t="str">
        <f>IF('AV 2'!O137="Não",'AV 2'!N137,"-")</f>
        <v>-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80" t="str">
        <f>IF('AV 2'!O138="Às vezes",'AV 2'!N138,"-")</f>
        <v>-</v>
      </c>
      <c r="C578" s="69" t="str">
        <f>IF('AV 2'!O138="Não",'AV 2'!N138,"-")</f>
        <v>-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80" t="str">
        <f>IF('AV 2'!O139="Às vezes",'AV 2'!N139,"-")</f>
        <v>-</v>
      </c>
      <c r="C579" s="69" t="str">
        <f>IF('AV 2'!O139="Não",'AV 2'!N139,"-")</f>
        <v>-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80" t="str">
        <f>IF('AV 2'!O140="Às vezes",'AV 2'!N140,"-")</f>
        <v>-</v>
      </c>
      <c r="C580" s="69" t="str">
        <f>IF('AV 2'!O140="Não",'AV 2'!N140,"-")</f>
        <v>-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80" t="str">
        <f>IF('AV 2'!O141="Às vezes",'AV 2'!N141,"-")</f>
        <v>-</v>
      </c>
      <c r="C581" s="69" t="str">
        <f>IF('AV 2'!O141="Não",'AV 2'!N141,"-")</f>
        <v>-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80" t="str">
        <f>IF('AV 2'!O142="Às vezes",'AV 2'!N142,"-")</f>
        <v>-</v>
      </c>
      <c r="C582" s="69" t="str">
        <f>IF('AV 2'!O142="Não",'AV 2'!N142,"-")</f>
        <v>-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80" t="str">
        <f>IF('AV 2'!O143="Às vezes",'AV 2'!N143,"-")</f>
        <v>-</v>
      </c>
      <c r="C583" s="69" t="str">
        <f>IF('AV 2'!O143="Não",'AV 2'!N143,"-")</f>
        <v>-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80" t="str">
        <f>IF('AV 2'!O144="Às vezes",'AV 2'!N144,"-")</f>
        <v>-</v>
      </c>
      <c r="C584" s="69" t="str">
        <f>IF('AV 2'!O144="Não",'AV 2'!N144,"-")</f>
        <v>-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80" t="str">
        <f>IF('AV 2'!O145="Às vezes",'AV 2'!N145,"-")</f>
        <v>-</v>
      </c>
      <c r="C585" s="69" t="str">
        <f>IF('AV 2'!O145="Não",'AV 2'!N145,"-")</f>
        <v>-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80" t="str">
        <f>IF('AV 2'!O146="Às vezes",'AV 2'!N146,"-")</f>
        <v>-</v>
      </c>
      <c r="C586" s="69" t="str">
        <f>IF('AV 2'!O146="Não",'AV 2'!N146,"-")</f>
        <v>-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80" t="str">
        <f>IF('AV 2'!O147="Às vezes",'AV 2'!N147,"-")</f>
        <v>-</v>
      </c>
      <c r="C587" s="69" t="str">
        <f>IF('AV 2'!O147="Não",'AV 2'!N147,"-")</f>
        <v>-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80" t="str">
        <f>IF('AV 2'!O148="Às vezes",'AV 2'!N148,"-")</f>
        <v>-</v>
      </c>
      <c r="C588" s="69" t="str">
        <f>IF('AV 2'!O148="Não",'AV 2'!N148,"-")</f>
        <v>-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80" t="str">
        <f>IF('AV 2'!O149="Às vezes",'AV 2'!N149,"-")</f>
        <v>-</v>
      </c>
      <c r="C589" s="69" t="str">
        <f>IF('AV 2'!O149="Não",'AV 2'!N149,"-")</f>
        <v>-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80" t="str">
        <f>IF('AV 2'!O150="Às vezes",'AV 2'!N150,"-")</f>
        <v>-</v>
      </c>
      <c r="C590" s="69" t="str">
        <f>IF('AV 2'!O150="Não",'AV 2'!N150,"-")</f>
        <v>-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80" t="str">
        <f>IF('AV 2'!O151="Às vezes",'AV 2'!N151,"-")</f>
        <v>-</v>
      </c>
      <c r="C591" s="69" t="str">
        <f>IF('AV 2'!O151="Não",'AV 2'!N151,"-")</f>
        <v>-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80" t="str">
        <f>IF('AV 2'!O152="Às vezes",'AV 2'!N152,"-")</f>
        <v>-</v>
      </c>
      <c r="C592" s="69" t="str">
        <f>IF('AV 2'!O152="Não",'AV 2'!N152,"-")</f>
        <v>-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80" t="str">
        <f>IF('AV 2'!O153="Às vezes",'AV 2'!N153,"-")</f>
        <v>-</v>
      </c>
      <c r="C593" s="69" t="str">
        <f>IF('AV 2'!O153="Não",'AV 2'!N153,"-")</f>
        <v>-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80" t="str">
        <f>IF('AV 2'!O154="Às vezes",'AV 2'!N154,"-")</f>
        <v>-</v>
      </c>
      <c r="C594" s="69" t="str">
        <f>IF('AV 2'!O154="Não",'AV 2'!N154,"-")</f>
        <v>-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80" t="str">
        <f>IF('AV 2'!O155="Às vezes",'AV 2'!N155,"-")</f>
        <v>-</v>
      </c>
      <c r="C595" s="69" t="str">
        <f>IF('AV 2'!O155="Não",'AV 2'!N155,"-")</f>
        <v>-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80" t="str">
        <f>IF('AV 2'!O156="Às vezes",'AV 2'!N156,"-")</f>
        <v>-</v>
      </c>
      <c r="C596" s="69" t="str">
        <f>IF('AV 2'!O156="Não",'AV 2'!N156,"-")</f>
        <v>-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80" t="str">
        <f>IF('AV 2'!O157="Às vezes",'AV 2'!N157,"-")</f>
        <v>-</v>
      </c>
      <c r="C597" s="69" t="str">
        <f>IF('AV 2'!O157="Não",'AV 2'!N157,"-")</f>
        <v>-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80" t="str">
        <f>IF('AV 2'!O158="Às vezes",'AV 2'!N158,"-")</f>
        <v>-</v>
      </c>
      <c r="C598" s="69" t="str">
        <f>IF('AV 2'!O158="Não",'AV 2'!N158,"-")</f>
        <v>-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80" t="str">
        <f>IF('AV 2'!O159="Às vezes",'AV 2'!N159,"-")</f>
        <v>-</v>
      </c>
      <c r="C599" s="69" t="str">
        <f>IF('AV 2'!O159="Não",'AV 2'!N159,"-")</f>
        <v>-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80" t="str">
        <f>IF('AV 2'!O160="Às vezes",'AV 2'!N160,"-")</f>
        <v>-</v>
      </c>
      <c r="C600" s="69" t="str">
        <f>IF('AV 2'!O160="Não",'AV 2'!N160,"-")</f>
        <v>-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80" t="str">
        <f>IF('AV 2'!O161="Às vezes",'AV 2'!N161,"-")</f>
        <v>-</v>
      </c>
      <c r="C601" s="69" t="str">
        <f>IF('AV 2'!O161="Não",'AV 2'!N161,"-")</f>
        <v>-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80" t="str">
        <f>IF('AV 2'!O162="Às vezes",'AV 2'!N162,"-")</f>
        <v>-</v>
      </c>
      <c r="C602" s="69" t="str">
        <f>IF('AV 2'!O162="Não",'AV 2'!N162,"-")</f>
        <v>-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1:$C$11"/>
  <mergeCells count="3">
    <mergeCell ref="B2:C2"/>
    <mergeCell ref="B9:C9"/>
    <mergeCell ref="B10:C10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59.43"/>
    <col customWidth="1" min="3" max="3" width="20.86"/>
    <col customWidth="1" min="4" max="4" width="9.57"/>
    <col customWidth="1" min="5" max="5" width="59.43"/>
    <col customWidth="1" min="6" max="6" width="18.43"/>
    <col customWidth="1" min="7" max="7" width="11.71"/>
    <col customWidth="1" min="8" max="8" width="59.43"/>
    <col customWidth="1" min="9" max="9" width="17.43"/>
    <col customWidth="1" min="10" max="10" width="11.43"/>
    <col customWidth="1" min="11" max="11" width="59.57"/>
    <col customWidth="1" min="12" max="12" width="17.43"/>
    <col customWidth="1" min="13" max="13" width="10.86"/>
    <col customWidth="1" min="14" max="14" width="59.43"/>
    <col customWidth="1" min="15" max="15" width="17.43"/>
    <col customWidth="1" min="16" max="16" width="12.0"/>
    <col customWidth="1" min="17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6.2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6.25" customHeight="1">
      <c r="A3" s="1"/>
      <c r="B3" s="6"/>
      <c r="C3" s="6"/>
      <c r="D3" s="6"/>
      <c r="E3" s="6"/>
      <c r="F3" s="7"/>
      <c r="G3" s="6"/>
      <c r="H3" s="6"/>
      <c r="I3" s="6"/>
      <c r="J3" s="6"/>
      <c r="K3" s="6"/>
      <c r="L3" s="6"/>
      <c r="M3" s="6"/>
      <c r="N3" s="6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8" t="s">
        <v>615</v>
      </c>
      <c r="C4" s="82" t="s">
        <v>623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8" t="s">
        <v>624</v>
      </c>
      <c r="C5" s="82">
        <v>6.0</v>
      </c>
      <c r="D5" s="6"/>
      <c r="E5" s="6"/>
      <c r="F5" s="7"/>
      <c r="G5" s="6"/>
      <c r="H5" s="6"/>
      <c r="I5" s="6"/>
      <c r="J5" s="6"/>
      <c r="K5" s="6"/>
      <c r="L5" s="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8" t="s">
        <v>617</v>
      </c>
      <c r="C6" s="82" t="s">
        <v>625</v>
      </c>
      <c r="D6" s="6"/>
      <c r="E6" s="6"/>
      <c r="F6" s="7"/>
      <c r="G6" s="6"/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 t="s">
        <v>618</v>
      </c>
      <c r="C7" s="83">
        <v>45737.0</v>
      </c>
      <c r="D7" s="6"/>
      <c r="E7" s="6"/>
      <c r="F7" s="7"/>
      <c r="G7" s="6"/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6"/>
      <c r="E8" s="6"/>
      <c r="F8" s="7"/>
      <c r="G8" s="6"/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2.25" customHeight="1">
      <c r="A9" s="1"/>
      <c r="B9" s="12" t="s">
        <v>626</v>
      </c>
      <c r="F9" s="13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7.5" customHeight="1">
      <c r="A10" s="1"/>
      <c r="B10" s="12" t="s">
        <v>8</v>
      </c>
      <c r="F10" s="14"/>
      <c r="G10" s="1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3"/>
      <c r="B11" s="16" t="s">
        <v>9</v>
      </c>
      <c r="C11" s="17"/>
      <c r="D11" s="18"/>
      <c r="E11" s="16" t="s">
        <v>10</v>
      </c>
      <c r="F11" s="17"/>
      <c r="G11" s="18"/>
      <c r="H11" s="16" t="s">
        <v>11</v>
      </c>
      <c r="I11" s="17"/>
      <c r="J11" s="18"/>
      <c r="K11" s="16" t="s">
        <v>12</v>
      </c>
      <c r="L11" s="17"/>
      <c r="M11" s="18"/>
      <c r="N11" s="16" t="s">
        <v>13</v>
      </c>
      <c r="O11" s="17"/>
      <c r="P11" s="18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22.5" customHeight="1">
      <c r="A12" s="1"/>
      <c r="B12" s="19" t="s">
        <v>14</v>
      </c>
      <c r="C12" s="20" t="s">
        <v>15</v>
      </c>
      <c r="D12" s="20" t="s">
        <v>16</v>
      </c>
      <c r="E12" s="19" t="s">
        <v>17</v>
      </c>
      <c r="F12" s="20" t="s">
        <v>15</v>
      </c>
      <c r="G12" s="20" t="s">
        <v>16</v>
      </c>
      <c r="H12" s="19" t="s">
        <v>18</v>
      </c>
      <c r="I12" s="20" t="s">
        <v>15</v>
      </c>
      <c r="J12" s="20" t="s">
        <v>16</v>
      </c>
      <c r="K12" s="19" t="s">
        <v>19</v>
      </c>
      <c r="L12" s="20" t="s">
        <v>15</v>
      </c>
      <c r="M12" s="20" t="s">
        <v>16</v>
      </c>
      <c r="N12" s="19" t="s">
        <v>20</v>
      </c>
      <c r="O12" s="20" t="s">
        <v>15</v>
      </c>
      <c r="P12" s="20" t="s">
        <v>16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1" t="s">
        <v>21</v>
      </c>
      <c r="C13" s="22" t="s">
        <v>165</v>
      </c>
      <c r="D13" s="22">
        <f t="shared" ref="D13:D40" si="1">IF(C13="Sim",1,IF(C13="Não",0,IF(C13="Às vezes",0.5,"-")))</f>
        <v>1</v>
      </c>
      <c r="E13" s="21" t="s">
        <v>22</v>
      </c>
      <c r="F13" s="22"/>
      <c r="G13" s="22" t="str">
        <f t="shared" ref="G13:G22" si="2">IF(F13="Sim",1,IF(F13="Não",0,IF(F13="Às vezes",0.5,"-")))</f>
        <v>-</v>
      </c>
      <c r="H13" s="21" t="s">
        <v>23</v>
      </c>
      <c r="I13" s="22"/>
      <c r="J13" s="22" t="str">
        <f t="shared" ref="J13:J26" si="3">IF(I13="Sim",1,IF(I13="Não",0,IF(I13="Às vezes",0.5,"-")))</f>
        <v>-</v>
      </c>
      <c r="K13" s="21" t="s">
        <v>24</v>
      </c>
      <c r="L13" s="22"/>
      <c r="M13" s="22" t="str">
        <f t="shared" ref="M13:M25" si="4">IF(L13="Sim",1,IF(L13="Não",0,IF(L13="Às vezes",0.5,"-")))</f>
        <v>-</v>
      </c>
      <c r="N13" s="21" t="s">
        <v>25</v>
      </c>
      <c r="O13" s="22"/>
      <c r="P13" s="22" t="str">
        <f t="shared" ref="P13:P57" si="5">IF(O13="Sim",1,IF(O13="Não",0,IF(O13="Às vezes",0.5,"-")))</f>
        <v>-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1" t="s">
        <v>26</v>
      </c>
      <c r="C14" s="22" t="s">
        <v>205</v>
      </c>
      <c r="D14" s="22">
        <f t="shared" si="1"/>
        <v>0</v>
      </c>
      <c r="E14" s="21" t="s">
        <v>27</v>
      </c>
      <c r="F14" s="22"/>
      <c r="G14" s="22" t="str">
        <f t="shared" si="2"/>
        <v>-</v>
      </c>
      <c r="H14" s="21" t="s">
        <v>28</v>
      </c>
      <c r="I14" s="22"/>
      <c r="J14" s="22" t="str">
        <f t="shared" si="3"/>
        <v>-</v>
      </c>
      <c r="K14" s="21" t="s">
        <v>29</v>
      </c>
      <c r="L14" s="22"/>
      <c r="M14" s="22" t="str">
        <f t="shared" si="4"/>
        <v>-</v>
      </c>
      <c r="N14" s="21" t="s">
        <v>30</v>
      </c>
      <c r="O14" s="22"/>
      <c r="P14" s="22" t="str">
        <f t="shared" si="5"/>
        <v>-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1" t="s">
        <v>31</v>
      </c>
      <c r="C15" s="22" t="s">
        <v>627</v>
      </c>
      <c r="D15" s="22">
        <f t="shared" si="1"/>
        <v>0.5</v>
      </c>
      <c r="E15" s="21" t="s">
        <v>32</v>
      </c>
      <c r="F15" s="22"/>
      <c r="G15" s="22" t="str">
        <f t="shared" si="2"/>
        <v>-</v>
      </c>
      <c r="H15" s="21" t="s">
        <v>33</v>
      </c>
      <c r="I15" s="22"/>
      <c r="J15" s="22" t="str">
        <f t="shared" si="3"/>
        <v>-</v>
      </c>
      <c r="K15" s="21" t="s">
        <v>34</v>
      </c>
      <c r="L15" s="22"/>
      <c r="M15" s="22" t="str">
        <f t="shared" si="4"/>
        <v>-</v>
      </c>
      <c r="N15" s="21" t="s">
        <v>35</v>
      </c>
      <c r="O15" s="22"/>
      <c r="P15" s="22" t="str">
        <f t="shared" si="5"/>
        <v>-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1" t="s">
        <v>36</v>
      </c>
      <c r="C16" s="22" t="s">
        <v>628</v>
      </c>
      <c r="D16" s="22" t="str">
        <f t="shared" si="1"/>
        <v>-</v>
      </c>
      <c r="E16" s="21" t="s">
        <v>37</v>
      </c>
      <c r="F16" s="22"/>
      <c r="G16" s="22" t="str">
        <f t="shared" si="2"/>
        <v>-</v>
      </c>
      <c r="H16" s="21" t="s">
        <v>38</v>
      </c>
      <c r="I16" s="22"/>
      <c r="J16" s="22" t="str">
        <f t="shared" si="3"/>
        <v>-</v>
      </c>
      <c r="K16" s="21" t="s">
        <v>39</v>
      </c>
      <c r="L16" s="22"/>
      <c r="M16" s="22" t="str">
        <f t="shared" si="4"/>
        <v>-</v>
      </c>
      <c r="N16" s="21" t="s">
        <v>40</v>
      </c>
      <c r="O16" s="22"/>
      <c r="P16" s="22" t="str">
        <f t="shared" si="5"/>
        <v>-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1" t="s">
        <v>41</v>
      </c>
      <c r="C17" s="22"/>
      <c r="D17" s="22" t="str">
        <f t="shared" si="1"/>
        <v>-</v>
      </c>
      <c r="E17" s="21" t="s">
        <v>42</v>
      </c>
      <c r="F17" s="22"/>
      <c r="G17" s="22" t="str">
        <f t="shared" si="2"/>
        <v>-</v>
      </c>
      <c r="H17" s="21" t="s">
        <v>43</v>
      </c>
      <c r="I17" s="22"/>
      <c r="J17" s="22" t="str">
        <f t="shared" si="3"/>
        <v>-</v>
      </c>
      <c r="K17" s="21" t="s">
        <v>44</v>
      </c>
      <c r="L17" s="22"/>
      <c r="M17" s="22" t="str">
        <f t="shared" si="4"/>
        <v>-</v>
      </c>
      <c r="N17" s="21" t="s">
        <v>45</v>
      </c>
      <c r="O17" s="22"/>
      <c r="P17" s="22" t="str">
        <f t="shared" si="5"/>
        <v>-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1" t="s">
        <v>46</v>
      </c>
      <c r="C18" s="22"/>
      <c r="D18" s="22" t="str">
        <f t="shared" si="1"/>
        <v>-</v>
      </c>
      <c r="E18" s="21" t="s">
        <v>47</v>
      </c>
      <c r="F18" s="22"/>
      <c r="G18" s="22" t="str">
        <f t="shared" si="2"/>
        <v>-</v>
      </c>
      <c r="H18" s="21" t="s">
        <v>48</v>
      </c>
      <c r="I18" s="22"/>
      <c r="J18" s="22" t="str">
        <f t="shared" si="3"/>
        <v>-</v>
      </c>
      <c r="K18" s="21" t="s">
        <v>49</v>
      </c>
      <c r="L18" s="22"/>
      <c r="M18" s="22" t="str">
        <f t="shared" si="4"/>
        <v>-</v>
      </c>
      <c r="N18" s="21" t="s">
        <v>50</v>
      </c>
      <c r="O18" s="22"/>
      <c r="P18" s="22" t="str">
        <f t="shared" si="5"/>
        <v>-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1" t="s">
        <v>51</v>
      </c>
      <c r="C19" s="22"/>
      <c r="D19" s="22" t="str">
        <f t="shared" si="1"/>
        <v>-</v>
      </c>
      <c r="E19" s="21" t="s">
        <v>52</v>
      </c>
      <c r="F19" s="22"/>
      <c r="G19" s="22" t="str">
        <f t="shared" si="2"/>
        <v>-</v>
      </c>
      <c r="H19" s="21" t="s">
        <v>53</v>
      </c>
      <c r="I19" s="22"/>
      <c r="J19" s="22" t="str">
        <f t="shared" si="3"/>
        <v>-</v>
      </c>
      <c r="K19" s="21" t="s">
        <v>54</v>
      </c>
      <c r="L19" s="22"/>
      <c r="M19" s="22" t="str">
        <f t="shared" si="4"/>
        <v>-</v>
      </c>
      <c r="N19" s="21" t="s">
        <v>55</v>
      </c>
      <c r="O19" s="22"/>
      <c r="P19" s="22" t="str">
        <f t="shared" si="5"/>
        <v>-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1" t="s">
        <v>56</v>
      </c>
      <c r="C20" s="22"/>
      <c r="D20" s="22" t="str">
        <f t="shared" si="1"/>
        <v>-</v>
      </c>
      <c r="E20" s="21" t="s">
        <v>57</v>
      </c>
      <c r="F20" s="22"/>
      <c r="G20" s="22" t="str">
        <f t="shared" si="2"/>
        <v>-</v>
      </c>
      <c r="H20" s="21" t="s">
        <v>58</v>
      </c>
      <c r="I20" s="22"/>
      <c r="J20" s="22" t="str">
        <f t="shared" si="3"/>
        <v>-</v>
      </c>
      <c r="K20" s="21" t="s">
        <v>59</v>
      </c>
      <c r="L20" s="22"/>
      <c r="M20" s="22" t="str">
        <f t="shared" si="4"/>
        <v>-</v>
      </c>
      <c r="N20" s="21" t="s">
        <v>60</v>
      </c>
      <c r="O20" s="22"/>
      <c r="P20" s="22" t="str">
        <f t="shared" si="5"/>
        <v>-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1" t="s">
        <v>61</v>
      </c>
      <c r="C21" s="22"/>
      <c r="D21" s="22" t="str">
        <f t="shared" si="1"/>
        <v>-</v>
      </c>
      <c r="E21" s="21" t="s">
        <v>62</v>
      </c>
      <c r="F21" s="22"/>
      <c r="G21" s="22" t="str">
        <f t="shared" si="2"/>
        <v>-</v>
      </c>
      <c r="H21" s="21" t="s">
        <v>63</v>
      </c>
      <c r="I21" s="22"/>
      <c r="J21" s="22" t="str">
        <f t="shared" si="3"/>
        <v>-</v>
      </c>
      <c r="K21" s="21" t="s">
        <v>64</v>
      </c>
      <c r="L21" s="22"/>
      <c r="M21" s="22" t="str">
        <f t="shared" si="4"/>
        <v>-</v>
      </c>
      <c r="N21" s="21" t="s">
        <v>65</v>
      </c>
      <c r="O21" s="22"/>
      <c r="P21" s="22" t="str">
        <f t="shared" si="5"/>
        <v>-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1" t="s">
        <v>66</v>
      </c>
      <c r="C22" s="22"/>
      <c r="D22" s="22" t="str">
        <f t="shared" si="1"/>
        <v>-</v>
      </c>
      <c r="E22" s="21" t="s">
        <v>67</v>
      </c>
      <c r="F22" s="22"/>
      <c r="G22" s="22" t="str">
        <f t="shared" si="2"/>
        <v>-</v>
      </c>
      <c r="H22" s="21" t="s">
        <v>68</v>
      </c>
      <c r="I22" s="22"/>
      <c r="J22" s="22" t="str">
        <f t="shared" si="3"/>
        <v>-</v>
      </c>
      <c r="K22" s="21" t="s">
        <v>69</v>
      </c>
      <c r="L22" s="22"/>
      <c r="M22" s="22" t="str">
        <f t="shared" si="4"/>
        <v>-</v>
      </c>
      <c r="N22" s="21" t="s">
        <v>70</v>
      </c>
      <c r="O22" s="22"/>
      <c r="P22" s="22" t="str">
        <f t="shared" si="5"/>
        <v>-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8.5" customHeight="1">
      <c r="A23" s="1"/>
      <c r="B23" s="21" t="s">
        <v>71</v>
      </c>
      <c r="C23" s="22"/>
      <c r="D23" s="22" t="str">
        <f t="shared" si="1"/>
        <v>-</v>
      </c>
      <c r="E23" s="23" t="s">
        <v>72</v>
      </c>
      <c r="F23" s="16">
        <f>SUM(G13:G22)</f>
        <v>0</v>
      </c>
      <c r="G23" s="18"/>
      <c r="H23" s="21" t="s">
        <v>73</v>
      </c>
      <c r="I23" s="22"/>
      <c r="J23" s="22" t="str">
        <f t="shared" si="3"/>
        <v>-</v>
      </c>
      <c r="K23" s="21" t="s">
        <v>74</v>
      </c>
      <c r="L23" s="22"/>
      <c r="M23" s="22" t="str">
        <f t="shared" si="4"/>
        <v>-</v>
      </c>
      <c r="N23" s="21" t="s">
        <v>75</v>
      </c>
      <c r="O23" s="22"/>
      <c r="P23" s="22" t="str">
        <f t="shared" si="5"/>
        <v>-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.75" customHeight="1">
      <c r="A24" s="1"/>
      <c r="B24" s="21" t="s">
        <v>76</v>
      </c>
      <c r="C24" s="22"/>
      <c r="D24" s="22" t="str">
        <f t="shared" si="1"/>
        <v>-</v>
      </c>
      <c r="E24" s="24" t="s">
        <v>77</v>
      </c>
      <c r="F24" s="17"/>
      <c r="G24" s="18"/>
      <c r="H24" s="21" t="s">
        <v>78</v>
      </c>
      <c r="I24" s="22"/>
      <c r="J24" s="22" t="str">
        <f t="shared" si="3"/>
        <v>-</v>
      </c>
      <c r="K24" s="21" t="s">
        <v>79</v>
      </c>
      <c r="L24" s="22"/>
      <c r="M24" s="22" t="str">
        <f t="shared" si="4"/>
        <v>-</v>
      </c>
      <c r="N24" s="21" t="s">
        <v>80</v>
      </c>
      <c r="O24" s="22"/>
      <c r="P24" s="22" t="str">
        <f t="shared" si="5"/>
        <v>-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1" t="s">
        <v>81</v>
      </c>
      <c r="C25" s="22"/>
      <c r="D25" s="22" t="str">
        <f t="shared" si="1"/>
        <v>-</v>
      </c>
      <c r="E25" s="21" t="s">
        <v>82</v>
      </c>
      <c r="F25" s="22"/>
      <c r="G25" s="22" t="str">
        <f t="shared" ref="G25:G42" si="6">IF(F25="Sim",1,IF(F25="Não",0,IF(F25="Às vezes",0.5,"-")))</f>
        <v>-</v>
      </c>
      <c r="H25" s="21" t="s">
        <v>83</v>
      </c>
      <c r="I25" s="22"/>
      <c r="J25" s="22" t="str">
        <f t="shared" si="3"/>
        <v>-</v>
      </c>
      <c r="K25" s="21" t="s">
        <v>84</v>
      </c>
      <c r="L25" s="22"/>
      <c r="M25" s="22" t="str">
        <f t="shared" si="4"/>
        <v>-</v>
      </c>
      <c r="N25" s="21" t="s">
        <v>85</v>
      </c>
      <c r="O25" s="22"/>
      <c r="P25" s="22" t="str">
        <f t="shared" si="5"/>
        <v>-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21" t="s">
        <v>86</v>
      </c>
      <c r="C26" s="22"/>
      <c r="D26" s="22" t="str">
        <f t="shared" si="1"/>
        <v>-</v>
      </c>
      <c r="E26" s="21" t="s">
        <v>87</v>
      </c>
      <c r="F26" s="22"/>
      <c r="G26" s="22" t="str">
        <f t="shared" si="6"/>
        <v>-</v>
      </c>
      <c r="H26" s="21" t="s">
        <v>88</v>
      </c>
      <c r="I26" s="22"/>
      <c r="J26" s="22" t="str">
        <f t="shared" si="3"/>
        <v>-</v>
      </c>
      <c r="K26" s="23" t="s">
        <v>72</v>
      </c>
      <c r="L26" s="16">
        <f>SUM(M13:M25)</f>
        <v>0</v>
      </c>
      <c r="M26" s="18"/>
      <c r="N26" s="21" t="s">
        <v>89</v>
      </c>
      <c r="O26" s="22"/>
      <c r="P26" s="22" t="str">
        <f t="shared" si="5"/>
        <v>-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21" t="s">
        <v>90</v>
      </c>
      <c r="C27" s="22"/>
      <c r="D27" s="22" t="str">
        <f t="shared" si="1"/>
        <v>-</v>
      </c>
      <c r="E27" s="21" t="s">
        <v>91</v>
      </c>
      <c r="F27" s="22"/>
      <c r="G27" s="22" t="str">
        <f t="shared" si="6"/>
        <v>-</v>
      </c>
      <c r="H27" s="23" t="s">
        <v>72</v>
      </c>
      <c r="I27" s="16">
        <f>SUM(J13:J26)</f>
        <v>0</v>
      </c>
      <c r="J27" s="18"/>
      <c r="K27" s="24" t="s">
        <v>92</v>
      </c>
      <c r="L27" s="17"/>
      <c r="M27" s="18"/>
      <c r="N27" s="21" t="s">
        <v>93</v>
      </c>
      <c r="O27" s="22"/>
      <c r="P27" s="22" t="str">
        <f t="shared" si="5"/>
        <v>-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1" t="s">
        <v>94</v>
      </c>
      <c r="C28" s="22"/>
      <c r="D28" s="22" t="str">
        <f t="shared" si="1"/>
        <v>-</v>
      </c>
      <c r="E28" s="21" t="s">
        <v>95</v>
      </c>
      <c r="F28" s="22"/>
      <c r="G28" s="22" t="str">
        <f t="shared" si="6"/>
        <v>-</v>
      </c>
      <c r="H28" s="24" t="s">
        <v>96</v>
      </c>
      <c r="I28" s="17"/>
      <c r="J28" s="18"/>
      <c r="K28" s="21" t="s">
        <v>97</v>
      </c>
      <c r="L28" s="22"/>
      <c r="M28" s="22" t="str">
        <f t="shared" ref="M28:M39" si="7">IF(L28="Sim",1,IF(L28="Não",0,IF(L28="Às vezes",0.5,"-")))</f>
        <v>-</v>
      </c>
      <c r="N28" s="21" t="s">
        <v>98</v>
      </c>
      <c r="O28" s="22"/>
      <c r="P28" s="22" t="str">
        <f t="shared" si="5"/>
        <v>-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1" t="s">
        <v>99</v>
      </c>
      <c r="C29" s="22"/>
      <c r="D29" s="22" t="str">
        <f t="shared" si="1"/>
        <v>-</v>
      </c>
      <c r="E29" s="21" t="s">
        <v>100</v>
      </c>
      <c r="F29" s="22"/>
      <c r="G29" s="22" t="str">
        <f t="shared" si="6"/>
        <v>-</v>
      </c>
      <c r="H29" s="21" t="s">
        <v>101</v>
      </c>
      <c r="I29" s="22"/>
      <c r="J29" s="22" t="str">
        <f t="shared" ref="J29:J38" si="8">IF(I29="Sim",1,IF(I29="Não",0,IF(I29="Às vezes",0.5,"-")))</f>
        <v>-</v>
      </c>
      <c r="K29" s="21" t="s">
        <v>102</v>
      </c>
      <c r="L29" s="22"/>
      <c r="M29" s="22" t="str">
        <f t="shared" si="7"/>
        <v>-</v>
      </c>
      <c r="N29" s="21" t="s">
        <v>103</v>
      </c>
      <c r="O29" s="22"/>
      <c r="P29" s="22" t="str">
        <f t="shared" si="5"/>
        <v>-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1" t="s">
        <v>104</v>
      </c>
      <c r="C30" s="22"/>
      <c r="D30" s="22" t="str">
        <f t="shared" si="1"/>
        <v>-</v>
      </c>
      <c r="E30" s="21" t="s">
        <v>105</v>
      </c>
      <c r="F30" s="22"/>
      <c r="G30" s="22" t="str">
        <f t="shared" si="6"/>
        <v>-</v>
      </c>
      <c r="H30" s="21" t="s">
        <v>106</v>
      </c>
      <c r="I30" s="22"/>
      <c r="J30" s="22" t="str">
        <f t="shared" si="8"/>
        <v>-</v>
      </c>
      <c r="K30" s="21" t="s">
        <v>107</v>
      </c>
      <c r="L30" s="22"/>
      <c r="M30" s="22" t="str">
        <f t="shared" si="7"/>
        <v>-</v>
      </c>
      <c r="N30" s="21" t="s">
        <v>108</v>
      </c>
      <c r="O30" s="22"/>
      <c r="P30" s="22" t="str">
        <f t="shared" si="5"/>
        <v>-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1" t="s">
        <v>109</v>
      </c>
      <c r="C31" s="22"/>
      <c r="D31" s="22" t="str">
        <f t="shared" si="1"/>
        <v>-</v>
      </c>
      <c r="E31" s="21" t="s">
        <v>110</v>
      </c>
      <c r="F31" s="22"/>
      <c r="G31" s="22" t="str">
        <f t="shared" si="6"/>
        <v>-</v>
      </c>
      <c r="H31" s="21" t="s">
        <v>111</v>
      </c>
      <c r="I31" s="22"/>
      <c r="J31" s="22" t="str">
        <f t="shared" si="8"/>
        <v>-</v>
      </c>
      <c r="K31" s="21" t="s">
        <v>112</v>
      </c>
      <c r="L31" s="22"/>
      <c r="M31" s="22" t="str">
        <f t="shared" si="7"/>
        <v>-</v>
      </c>
      <c r="N31" s="21" t="s">
        <v>113</v>
      </c>
      <c r="O31" s="22"/>
      <c r="P31" s="22" t="str">
        <f t="shared" si="5"/>
        <v>-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1" t="s">
        <v>114</v>
      </c>
      <c r="C32" s="22"/>
      <c r="D32" s="22" t="str">
        <f t="shared" si="1"/>
        <v>-</v>
      </c>
      <c r="E32" s="21" t="s">
        <v>115</v>
      </c>
      <c r="F32" s="22"/>
      <c r="G32" s="22" t="str">
        <f t="shared" si="6"/>
        <v>-</v>
      </c>
      <c r="H32" s="21" t="s">
        <v>116</v>
      </c>
      <c r="I32" s="22"/>
      <c r="J32" s="22" t="str">
        <f t="shared" si="8"/>
        <v>-</v>
      </c>
      <c r="K32" s="21" t="s">
        <v>117</v>
      </c>
      <c r="L32" s="22"/>
      <c r="M32" s="22" t="str">
        <f t="shared" si="7"/>
        <v>-</v>
      </c>
      <c r="N32" s="21" t="s">
        <v>118</v>
      </c>
      <c r="O32" s="22"/>
      <c r="P32" s="22" t="str">
        <f t="shared" si="5"/>
        <v>-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1" t="s">
        <v>119</v>
      </c>
      <c r="C33" s="22"/>
      <c r="D33" s="22" t="str">
        <f t="shared" si="1"/>
        <v>-</v>
      </c>
      <c r="E33" s="21" t="s">
        <v>120</v>
      </c>
      <c r="F33" s="22"/>
      <c r="G33" s="22" t="str">
        <f t="shared" si="6"/>
        <v>-</v>
      </c>
      <c r="H33" s="21" t="s">
        <v>121</v>
      </c>
      <c r="I33" s="22"/>
      <c r="J33" s="22" t="str">
        <f t="shared" si="8"/>
        <v>-</v>
      </c>
      <c r="K33" s="21" t="s">
        <v>122</v>
      </c>
      <c r="L33" s="22"/>
      <c r="M33" s="22" t="str">
        <f t="shared" si="7"/>
        <v>-</v>
      </c>
      <c r="N33" s="21" t="s">
        <v>123</v>
      </c>
      <c r="O33" s="22"/>
      <c r="P33" s="22" t="str">
        <f t="shared" si="5"/>
        <v>-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1" t="s">
        <v>124</v>
      </c>
      <c r="C34" s="22"/>
      <c r="D34" s="22" t="str">
        <f t="shared" si="1"/>
        <v>-</v>
      </c>
      <c r="E34" s="21" t="s">
        <v>125</v>
      </c>
      <c r="F34" s="22"/>
      <c r="G34" s="22" t="str">
        <f t="shared" si="6"/>
        <v>-</v>
      </c>
      <c r="H34" s="21" t="s">
        <v>126</v>
      </c>
      <c r="I34" s="22"/>
      <c r="J34" s="22" t="str">
        <f t="shared" si="8"/>
        <v>-</v>
      </c>
      <c r="K34" s="21" t="s">
        <v>127</v>
      </c>
      <c r="L34" s="22"/>
      <c r="M34" s="22" t="str">
        <f t="shared" si="7"/>
        <v>-</v>
      </c>
      <c r="N34" s="21" t="s">
        <v>128</v>
      </c>
      <c r="O34" s="22"/>
      <c r="P34" s="22" t="str">
        <f t="shared" si="5"/>
        <v>-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0" customHeight="1">
      <c r="A35" s="1"/>
      <c r="B35" s="21" t="s">
        <v>129</v>
      </c>
      <c r="C35" s="22"/>
      <c r="D35" s="22" t="str">
        <f t="shared" si="1"/>
        <v>-</v>
      </c>
      <c r="E35" s="21" t="s">
        <v>130</v>
      </c>
      <c r="F35" s="22"/>
      <c r="G35" s="22" t="str">
        <f t="shared" si="6"/>
        <v>-</v>
      </c>
      <c r="H35" s="21" t="s">
        <v>131</v>
      </c>
      <c r="I35" s="22"/>
      <c r="J35" s="22" t="str">
        <f t="shared" si="8"/>
        <v>-</v>
      </c>
      <c r="K35" s="21" t="s">
        <v>132</v>
      </c>
      <c r="L35" s="22"/>
      <c r="M35" s="22" t="str">
        <f t="shared" si="7"/>
        <v>-</v>
      </c>
      <c r="N35" s="21" t="s">
        <v>133</v>
      </c>
      <c r="O35" s="22"/>
      <c r="P35" s="22" t="str">
        <f t="shared" si="5"/>
        <v>-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1" t="s">
        <v>134</v>
      </c>
      <c r="C36" s="22"/>
      <c r="D36" s="22" t="str">
        <f t="shared" si="1"/>
        <v>-</v>
      </c>
      <c r="E36" s="21" t="s">
        <v>135</v>
      </c>
      <c r="F36" s="22"/>
      <c r="G36" s="22" t="str">
        <f t="shared" si="6"/>
        <v>-</v>
      </c>
      <c r="H36" s="21" t="s">
        <v>136</v>
      </c>
      <c r="I36" s="22"/>
      <c r="J36" s="22" t="str">
        <f t="shared" si="8"/>
        <v>-</v>
      </c>
      <c r="K36" s="21" t="s">
        <v>137</v>
      </c>
      <c r="L36" s="22"/>
      <c r="M36" s="22" t="str">
        <f t="shared" si="7"/>
        <v>-</v>
      </c>
      <c r="N36" s="21" t="s">
        <v>138</v>
      </c>
      <c r="O36" s="22"/>
      <c r="P36" s="22" t="str">
        <f t="shared" si="5"/>
        <v>-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1" t="s">
        <v>139</v>
      </c>
      <c r="C37" s="22"/>
      <c r="D37" s="22" t="str">
        <f t="shared" si="1"/>
        <v>-</v>
      </c>
      <c r="E37" s="21" t="s">
        <v>140</v>
      </c>
      <c r="F37" s="22"/>
      <c r="G37" s="22" t="str">
        <f t="shared" si="6"/>
        <v>-</v>
      </c>
      <c r="H37" s="21" t="s">
        <v>141</v>
      </c>
      <c r="I37" s="22"/>
      <c r="J37" s="22" t="str">
        <f t="shared" si="8"/>
        <v>-</v>
      </c>
      <c r="K37" s="21" t="s">
        <v>142</v>
      </c>
      <c r="L37" s="22"/>
      <c r="M37" s="22" t="str">
        <f t="shared" si="7"/>
        <v>-</v>
      </c>
      <c r="N37" s="21" t="s">
        <v>143</v>
      </c>
      <c r="O37" s="22"/>
      <c r="P37" s="22" t="str">
        <f t="shared" si="5"/>
        <v>-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1" t="s">
        <v>144</v>
      </c>
      <c r="C38" s="22"/>
      <c r="D38" s="22" t="str">
        <f t="shared" si="1"/>
        <v>-</v>
      </c>
      <c r="E38" s="21" t="s">
        <v>145</v>
      </c>
      <c r="F38" s="22"/>
      <c r="G38" s="22" t="str">
        <f t="shared" si="6"/>
        <v>-</v>
      </c>
      <c r="H38" s="21" t="s">
        <v>146</v>
      </c>
      <c r="I38" s="22"/>
      <c r="J38" s="22" t="str">
        <f t="shared" si="8"/>
        <v>-</v>
      </c>
      <c r="K38" s="21" t="s">
        <v>147</v>
      </c>
      <c r="L38" s="22"/>
      <c r="M38" s="22" t="str">
        <f t="shared" si="7"/>
        <v>-</v>
      </c>
      <c r="N38" s="21" t="s">
        <v>148</v>
      </c>
      <c r="O38" s="22"/>
      <c r="P38" s="22" t="str">
        <f t="shared" si="5"/>
        <v>-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1" t="s">
        <v>149</v>
      </c>
      <c r="C39" s="22"/>
      <c r="D39" s="22" t="str">
        <f t="shared" si="1"/>
        <v>-</v>
      </c>
      <c r="E39" s="21" t="s">
        <v>150</v>
      </c>
      <c r="F39" s="22"/>
      <c r="G39" s="22" t="str">
        <f t="shared" si="6"/>
        <v>-</v>
      </c>
      <c r="H39" s="23" t="s">
        <v>72</v>
      </c>
      <c r="I39" s="16">
        <f>SUM(J29:J38)</f>
        <v>0</v>
      </c>
      <c r="J39" s="18"/>
      <c r="K39" s="21" t="s">
        <v>151</v>
      </c>
      <c r="L39" s="22"/>
      <c r="M39" s="22" t="str">
        <f t="shared" si="7"/>
        <v>-</v>
      </c>
      <c r="N39" s="21" t="s">
        <v>152</v>
      </c>
      <c r="O39" s="22"/>
      <c r="P39" s="22" t="str">
        <f t="shared" si="5"/>
        <v>-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6.25" customHeight="1">
      <c r="A40" s="1"/>
      <c r="B40" s="21" t="s">
        <v>153</v>
      </c>
      <c r="C40" s="22"/>
      <c r="D40" s="22" t="str">
        <f t="shared" si="1"/>
        <v>-</v>
      </c>
      <c r="E40" s="21" t="s">
        <v>154</v>
      </c>
      <c r="F40" s="22"/>
      <c r="G40" s="22" t="str">
        <f t="shared" si="6"/>
        <v>-</v>
      </c>
      <c r="H40" s="24" t="s">
        <v>155</v>
      </c>
      <c r="I40" s="17"/>
      <c r="J40" s="18"/>
      <c r="K40" s="23" t="s">
        <v>72</v>
      </c>
      <c r="L40" s="16">
        <f>SUM(M28:M39)</f>
        <v>0</v>
      </c>
      <c r="M40" s="18"/>
      <c r="N40" s="21" t="s">
        <v>156</v>
      </c>
      <c r="O40" s="22"/>
      <c r="P40" s="22" t="str">
        <f t="shared" si="5"/>
        <v>-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23" t="s">
        <v>72</v>
      </c>
      <c r="C41" s="16">
        <f>SUM(D13:D40)</f>
        <v>1.5</v>
      </c>
      <c r="D41" s="18"/>
      <c r="E41" s="21" t="s">
        <v>157</v>
      </c>
      <c r="F41" s="22"/>
      <c r="G41" s="22" t="str">
        <f t="shared" si="6"/>
        <v>-</v>
      </c>
      <c r="H41" s="21" t="s">
        <v>158</v>
      </c>
      <c r="I41" s="22"/>
      <c r="J41" s="22" t="str">
        <f t="shared" ref="J41:J56" si="9">IF(I41="Sim",1,IF(I41="Não",0,IF(I41="Às vezes",0.5,"-")))</f>
        <v>-</v>
      </c>
      <c r="K41" s="24" t="s">
        <v>159</v>
      </c>
      <c r="L41" s="17"/>
      <c r="M41" s="18"/>
      <c r="N41" s="21" t="s">
        <v>160</v>
      </c>
      <c r="O41" s="22"/>
      <c r="P41" s="22" t="str">
        <f t="shared" si="5"/>
        <v>-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9" t="s">
        <v>161</v>
      </c>
      <c r="C42" s="20" t="s">
        <v>15</v>
      </c>
      <c r="D42" s="20" t="s">
        <v>16</v>
      </c>
      <c r="E42" s="21" t="s">
        <v>162</v>
      </c>
      <c r="F42" s="22"/>
      <c r="G42" s="22" t="str">
        <f t="shared" si="6"/>
        <v>-</v>
      </c>
      <c r="H42" s="21" t="s">
        <v>163</v>
      </c>
      <c r="I42" s="22"/>
      <c r="J42" s="22" t="str">
        <f t="shared" si="9"/>
        <v>-</v>
      </c>
      <c r="K42" s="21" t="s">
        <v>164</v>
      </c>
      <c r="L42" s="22"/>
      <c r="M42" s="22" t="str">
        <f t="shared" ref="M42:M68" si="10">IF(L42="Sim",1,IF(L42="Não",0,IF(L42="Às vezes",0.5,"-")))</f>
        <v>-</v>
      </c>
      <c r="N42" s="21" t="s">
        <v>166</v>
      </c>
      <c r="O42" s="22"/>
      <c r="P42" s="22" t="str">
        <f t="shared" si="5"/>
        <v>-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6.25" customHeight="1">
      <c r="A43" s="1"/>
      <c r="B43" s="21" t="s">
        <v>167</v>
      </c>
      <c r="C43" s="22"/>
      <c r="D43" s="22" t="str">
        <f t="shared" ref="D43:D57" si="11">IF(C43="Sim",1,IF(C43="Não",0,IF(C43="Às vezes",0.5,"-")))</f>
        <v>-</v>
      </c>
      <c r="E43" s="23" t="s">
        <v>72</v>
      </c>
      <c r="F43" s="16">
        <f>SUM(G25:G42)</f>
        <v>0</v>
      </c>
      <c r="G43" s="18"/>
      <c r="H43" s="21" t="s">
        <v>168</v>
      </c>
      <c r="I43" s="22"/>
      <c r="J43" s="22" t="str">
        <f t="shared" si="9"/>
        <v>-</v>
      </c>
      <c r="K43" s="21" t="s">
        <v>169</v>
      </c>
      <c r="L43" s="22"/>
      <c r="M43" s="22" t="str">
        <f t="shared" si="10"/>
        <v>-</v>
      </c>
      <c r="N43" s="21" t="s">
        <v>170</v>
      </c>
      <c r="O43" s="22"/>
      <c r="P43" s="22" t="str">
        <f t="shared" si="5"/>
        <v>-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1" t="s">
        <v>171</v>
      </c>
      <c r="C44" s="22"/>
      <c r="D44" s="22" t="str">
        <f t="shared" si="11"/>
        <v>-</v>
      </c>
      <c r="E44" s="24" t="s">
        <v>172</v>
      </c>
      <c r="F44" s="17"/>
      <c r="G44" s="18"/>
      <c r="H44" s="21" t="s">
        <v>173</v>
      </c>
      <c r="I44" s="22"/>
      <c r="J44" s="22" t="str">
        <f t="shared" si="9"/>
        <v>-</v>
      </c>
      <c r="K44" s="21" t="s">
        <v>174</v>
      </c>
      <c r="L44" s="22"/>
      <c r="M44" s="22" t="str">
        <f t="shared" si="10"/>
        <v>-</v>
      </c>
      <c r="N44" s="21" t="s">
        <v>175</v>
      </c>
      <c r="O44" s="22"/>
      <c r="P44" s="22" t="str">
        <f t="shared" si="5"/>
        <v>-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1" t="s">
        <v>176</v>
      </c>
      <c r="C45" s="22"/>
      <c r="D45" s="22" t="str">
        <f t="shared" si="11"/>
        <v>-</v>
      </c>
      <c r="E45" s="21" t="s">
        <v>177</v>
      </c>
      <c r="F45" s="22"/>
      <c r="G45" s="22" t="str">
        <f t="shared" ref="G45:G74" si="12">IF(F45="Sim",1,IF(F45="Não",0,IF(F45="Às vezes",0.5,"-")))</f>
        <v>-</v>
      </c>
      <c r="H45" s="21" t="s">
        <v>178</v>
      </c>
      <c r="I45" s="22"/>
      <c r="J45" s="22" t="str">
        <f t="shared" si="9"/>
        <v>-</v>
      </c>
      <c r="K45" s="21" t="s">
        <v>179</v>
      </c>
      <c r="L45" s="22"/>
      <c r="M45" s="22" t="str">
        <f t="shared" si="10"/>
        <v>-</v>
      </c>
      <c r="N45" s="21" t="s">
        <v>180</v>
      </c>
      <c r="O45" s="22"/>
      <c r="P45" s="22" t="str">
        <f t="shared" si="5"/>
        <v>-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1" t="s">
        <v>181</v>
      </c>
      <c r="C46" s="22"/>
      <c r="D46" s="22" t="str">
        <f t="shared" si="11"/>
        <v>-</v>
      </c>
      <c r="E46" s="21" t="s">
        <v>182</v>
      </c>
      <c r="F46" s="22"/>
      <c r="G46" s="22" t="str">
        <f t="shared" si="12"/>
        <v>-</v>
      </c>
      <c r="H46" s="21" t="s">
        <v>183</v>
      </c>
      <c r="I46" s="22"/>
      <c r="J46" s="22" t="str">
        <f t="shared" si="9"/>
        <v>-</v>
      </c>
      <c r="K46" s="21" t="s">
        <v>184</v>
      </c>
      <c r="L46" s="22"/>
      <c r="M46" s="22" t="str">
        <f t="shared" si="10"/>
        <v>-</v>
      </c>
      <c r="N46" s="21" t="s">
        <v>185</v>
      </c>
      <c r="O46" s="22"/>
      <c r="P46" s="22" t="str">
        <f t="shared" si="5"/>
        <v>-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1" t="s">
        <v>186</v>
      </c>
      <c r="C47" s="22"/>
      <c r="D47" s="22" t="str">
        <f t="shared" si="11"/>
        <v>-</v>
      </c>
      <c r="E47" s="21" t="s">
        <v>187</v>
      </c>
      <c r="F47" s="22"/>
      <c r="G47" s="22" t="str">
        <f t="shared" si="12"/>
        <v>-</v>
      </c>
      <c r="H47" s="21" t="s">
        <v>188</v>
      </c>
      <c r="I47" s="22"/>
      <c r="J47" s="22" t="str">
        <f t="shared" si="9"/>
        <v>-</v>
      </c>
      <c r="K47" s="21" t="s">
        <v>189</v>
      </c>
      <c r="L47" s="22"/>
      <c r="M47" s="22" t="str">
        <f t="shared" si="10"/>
        <v>-</v>
      </c>
      <c r="N47" s="21" t="s">
        <v>190</v>
      </c>
      <c r="O47" s="22"/>
      <c r="P47" s="22" t="str">
        <f t="shared" si="5"/>
        <v>-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1" t="s">
        <v>191</v>
      </c>
      <c r="C48" s="22"/>
      <c r="D48" s="22" t="str">
        <f t="shared" si="11"/>
        <v>-</v>
      </c>
      <c r="E48" s="21" t="s">
        <v>192</v>
      </c>
      <c r="F48" s="22"/>
      <c r="G48" s="22" t="str">
        <f t="shared" si="12"/>
        <v>-</v>
      </c>
      <c r="H48" s="21" t="s">
        <v>193</v>
      </c>
      <c r="I48" s="22"/>
      <c r="J48" s="22" t="str">
        <f t="shared" si="9"/>
        <v>-</v>
      </c>
      <c r="K48" s="21" t="s">
        <v>194</v>
      </c>
      <c r="L48" s="22"/>
      <c r="M48" s="22" t="str">
        <f t="shared" si="10"/>
        <v>-</v>
      </c>
      <c r="N48" s="21" t="s">
        <v>195</v>
      </c>
      <c r="O48" s="22"/>
      <c r="P48" s="22" t="str">
        <f t="shared" si="5"/>
        <v>-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1" t="s">
        <v>196</v>
      </c>
      <c r="C49" s="22"/>
      <c r="D49" s="22" t="str">
        <f t="shared" si="11"/>
        <v>-</v>
      </c>
      <c r="E49" s="21" t="s">
        <v>197</v>
      </c>
      <c r="F49" s="22"/>
      <c r="G49" s="22" t="str">
        <f t="shared" si="12"/>
        <v>-</v>
      </c>
      <c r="H49" s="21" t="s">
        <v>198</v>
      </c>
      <c r="I49" s="22"/>
      <c r="J49" s="22" t="str">
        <f t="shared" si="9"/>
        <v>-</v>
      </c>
      <c r="K49" s="21" t="s">
        <v>199</v>
      </c>
      <c r="L49" s="22"/>
      <c r="M49" s="22" t="str">
        <f t="shared" si="10"/>
        <v>-</v>
      </c>
      <c r="N49" s="21" t="s">
        <v>200</v>
      </c>
      <c r="O49" s="22"/>
      <c r="P49" s="22" t="str">
        <f t="shared" si="5"/>
        <v>-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1" t="s">
        <v>201</v>
      </c>
      <c r="C50" s="22"/>
      <c r="D50" s="22" t="str">
        <f t="shared" si="11"/>
        <v>-</v>
      </c>
      <c r="E50" s="21" t="s">
        <v>202</v>
      </c>
      <c r="F50" s="22"/>
      <c r="G50" s="22" t="str">
        <f t="shared" si="12"/>
        <v>-</v>
      </c>
      <c r="H50" s="21" t="s">
        <v>203</v>
      </c>
      <c r="I50" s="22"/>
      <c r="J50" s="22" t="str">
        <f t="shared" si="9"/>
        <v>-</v>
      </c>
      <c r="K50" s="21" t="s">
        <v>204</v>
      </c>
      <c r="L50" s="22"/>
      <c r="M50" s="22" t="str">
        <f t="shared" si="10"/>
        <v>-</v>
      </c>
      <c r="N50" s="21" t="s">
        <v>206</v>
      </c>
      <c r="O50" s="22"/>
      <c r="P50" s="22" t="str">
        <f t="shared" si="5"/>
        <v>-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1" t="s">
        <v>207</v>
      </c>
      <c r="C51" s="22"/>
      <c r="D51" s="22" t="str">
        <f t="shared" si="11"/>
        <v>-</v>
      </c>
      <c r="E51" s="21" t="s">
        <v>208</v>
      </c>
      <c r="F51" s="22"/>
      <c r="G51" s="22" t="str">
        <f t="shared" si="12"/>
        <v>-</v>
      </c>
      <c r="H51" s="21" t="s">
        <v>209</v>
      </c>
      <c r="I51" s="22"/>
      <c r="J51" s="22" t="str">
        <f t="shared" si="9"/>
        <v>-</v>
      </c>
      <c r="K51" s="21" t="s">
        <v>210</v>
      </c>
      <c r="L51" s="22"/>
      <c r="M51" s="22" t="str">
        <f t="shared" si="10"/>
        <v>-</v>
      </c>
      <c r="N51" s="21" t="s">
        <v>211</v>
      </c>
      <c r="O51" s="22"/>
      <c r="P51" s="22" t="str">
        <f t="shared" si="5"/>
        <v>-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1" t="s">
        <v>212</v>
      </c>
      <c r="C52" s="22"/>
      <c r="D52" s="22" t="str">
        <f t="shared" si="11"/>
        <v>-</v>
      </c>
      <c r="E52" s="21" t="s">
        <v>213</v>
      </c>
      <c r="F52" s="22"/>
      <c r="G52" s="22" t="str">
        <f t="shared" si="12"/>
        <v>-</v>
      </c>
      <c r="H52" s="21" t="s">
        <v>214</v>
      </c>
      <c r="I52" s="22"/>
      <c r="J52" s="22" t="str">
        <f t="shared" si="9"/>
        <v>-</v>
      </c>
      <c r="K52" s="21" t="s">
        <v>215</v>
      </c>
      <c r="L52" s="22"/>
      <c r="M52" s="22" t="str">
        <f t="shared" si="10"/>
        <v>-</v>
      </c>
      <c r="N52" s="21" t="s">
        <v>216</v>
      </c>
      <c r="O52" s="22"/>
      <c r="P52" s="22" t="str">
        <f t="shared" si="5"/>
        <v>-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1" t="s">
        <v>217</v>
      </c>
      <c r="C53" s="22"/>
      <c r="D53" s="22" t="str">
        <f t="shared" si="11"/>
        <v>-</v>
      </c>
      <c r="E53" s="21" t="s">
        <v>218</v>
      </c>
      <c r="F53" s="22"/>
      <c r="G53" s="22" t="str">
        <f t="shared" si="12"/>
        <v>-</v>
      </c>
      <c r="H53" s="21" t="s">
        <v>219</v>
      </c>
      <c r="I53" s="22"/>
      <c r="J53" s="22" t="str">
        <f t="shared" si="9"/>
        <v>-</v>
      </c>
      <c r="K53" s="21" t="s">
        <v>220</v>
      </c>
      <c r="L53" s="22"/>
      <c r="M53" s="22" t="str">
        <f t="shared" si="10"/>
        <v>-</v>
      </c>
      <c r="N53" s="21" t="s">
        <v>221</v>
      </c>
      <c r="O53" s="22"/>
      <c r="P53" s="22" t="str">
        <f t="shared" si="5"/>
        <v>-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1" t="s">
        <v>222</v>
      </c>
      <c r="C54" s="22"/>
      <c r="D54" s="22" t="str">
        <f t="shared" si="11"/>
        <v>-</v>
      </c>
      <c r="E54" s="21" t="s">
        <v>223</v>
      </c>
      <c r="F54" s="22"/>
      <c r="G54" s="22" t="str">
        <f t="shared" si="12"/>
        <v>-</v>
      </c>
      <c r="H54" s="21" t="s">
        <v>224</v>
      </c>
      <c r="I54" s="22"/>
      <c r="J54" s="22" t="str">
        <f t="shared" si="9"/>
        <v>-</v>
      </c>
      <c r="K54" s="21" t="s">
        <v>225</v>
      </c>
      <c r="L54" s="22"/>
      <c r="M54" s="22" t="str">
        <f t="shared" si="10"/>
        <v>-</v>
      </c>
      <c r="N54" s="21" t="s">
        <v>226</v>
      </c>
      <c r="O54" s="22"/>
      <c r="P54" s="22" t="str">
        <f t="shared" si="5"/>
        <v>-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1" t="s">
        <v>227</v>
      </c>
      <c r="C55" s="22"/>
      <c r="D55" s="22" t="str">
        <f t="shared" si="11"/>
        <v>-</v>
      </c>
      <c r="E55" s="21" t="s">
        <v>228</v>
      </c>
      <c r="F55" s="22"/>
      <c r="G55" s="22" t="str">
        <f t="shared" si="12"/>
        <v>-</v>
      </c>
      <c r="H55" s="21" t="s">
        <v>229</v>
      </c>
      <c r="I55" s="22"/>
      <c r="J55" s="22" t="str">
        <f t="shared" si="9"/>
        <v>-</v>
      </c>
      <c r="K55" s="21" t="s">
        <v>230</v>
      </c>
      <c r="L55" s="22"/>
      <c r="M55" s="22" t="str">
        <f t="shared" si="10"/>
        <v>-</v>
      </c>
      <c r="N55" s="21" t="s">
        <v>231</v>
      </c>
      <c r="O55" s="22"/>
      <c r="P55" s="22" t="str">
        <f t="shared" si="5"/>
        <v>-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1" t="s">
        <v>232</v>
      </c>
      <c r="C56" s="22"/>
      <c r="D56" s="22" t="str">
        <f t="shared" si="11"/>
        <v>-</v>
      </c>
      <c r="E56" s="21" t="s">
        <v>233</v>
      </c>
      <c r="F56" s="22"/>
      <c r="G56" s="22" t="str">
        <f t="shared" si="12"/>
        <v>-</v>
      </c>
      <c r="H56" s="21" t="s">
        <v>234</v>
      </c>
      <c r="I56" s="22"/>
      <c r="J56" s="22" t="str">
        <f t="shared" si="9"/>
        <v>-</v>
      </c>
      <c r="K56" s="21" t="s">
        <v>235</v>
      </c>
      <c r="L56" s="22"/>
      <c r="M56" s="22" t="str">
        <f t="shared" si="10"/>
        <v>-</v>
      </c>
      <c r="N56" s="21" t="s">
        <v>236</v>
      </c>
      <c r="O56" s="22"/>
      <c r="P56" s="22" t="str">
        <f t="shared" si="5"/>
        <v>-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6.25" customHeight="1">
      <c r="A57" s="1"/>
      <c r="B57" s="21" t="s">
        <v>237</v>
      </c>
      <c r="C57" s="22"/>
      <c r="D57" s="22" t="str">
        <f t="shared" si="11"/>
        <v>-</v>
      </c>
      <c r="E57" s="21" t="s">
        <v>238</v>
      </c>
      <c r="F57" s="22"/>
      <c r="G57" s="22" t="str">
        <f t="shared" si="12"/>
        <v>-</v>
      </c>
      <c r="H57" s="23" t="s">
        <v>72</v>
      </c>
      <c r="I57" s="16">
        <f>SUM(J41:J56)</f>
        <v>0</v>
      </c>
      <c r="J57" s="18"/>
      <c r="K57" s="21" t="s">
        <v>239</v>
      </c>
      <c r="L57" s="22"/>
      <c r="M57" s="22" t="str">
        <f t="shared" si="10"/>
        <v>-</v>
      </c>
      <c r="N57" s="21" t="s">
        <v>240</v>
      </c>
      <c r="O57" s="22"/>
      <c r="P57" s="22" t="str">
        <f t="shared" si="5"/>
        <v>-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6.25" customHeight="1">
      <c r="A58" s="11"/>
      <c r="B58" s="23" t="s">
        <v>72</v>
      </c>
      <c r="C58" s="16">
        <f>SUM(D43:D57)</f>
        <v>0</v>
      </c>
      <c r="D58" s="18"/>
      <c r="E58" s="21" t="s">
        <v>241</v>
      </c>
      <c r="F58" s="22"/>
      <c r="G58" s="22" t="str">
        <f t="shared" si="12"/>
        <v>-</v>
      </c>
      <c r="H58" s="24" t="s">
        <v>242</v>
      </c>
      <c r="I58" s="17"/>
      <c r="J58" s="18"/>
      <c r="K58" s="21" t="s">
        <v>243</v>
      </c>
      <c r="L58" s="22"/>
      <c r="M58" s="22" t="str">
        <f t="shared" si="10"/>
        <v>-</v>
      </c>
      <c r="N58" s="23" t="s">
        <v>72</v>
      </c>
      <c r="O58" s="16">
        <f>SUM(P13:P57)</f>
        <v>0</v>
      </c>
      <c r="P58" s="18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9.25" customHeight="1">
      <c r="A59" s="1"/>
      <c r="B59" s="19" t="s">
        <v>244</v>
      </c>
      <c r="C59" s="20" t="s">
        <v>15</v>
      </c>
      <c r="D59" s="20" t="s">
        <v>16</v>
      </c>
      <c r="E59" s="21" t="s">
        <v>245</v>
      </c>
      <c r="F59" s="22"/>
      <c r="G59" s="22" t="str">
        <f t="shared" si="12"/>
        <v>-</v>
      </c>
      <c r="H59" s="21" t="s">
        <v>246</v>
      </c>
      <c r="I59" s="22"/>
      <c r="J59" s="22" t="str">
        <f t="shared" ref="J59:J82" si="13">IF(I59="Sim",1,IF(I59="Não",0,IF(I59="Às vezes",0.5,"-")))</f>
        <v>-</v>
      </c>
      <c r="K59" s="21" t="s">
        <v>247</v>
      </c>
      <c r="L59" s="22"/>
      <c r="M59" s="22" t="str">
        <f t="shared" si="10"/>
        <v>-</v>
      </c>
      <c r="N59" s="24" t="s">
        <v>248</v>
      </c>
      <c r="O59" s="17"/>
      <c r="P59" s="18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1" t="s">
        <v>249</v>
      </c>
      <c r="C60" s="22"/>
      <c r="D60" s="22" t="str">
        <f t="shared" ref="D60:D67" si="14">IF(C60="Sim",1,IF(C60="Não",0,IF(C60="Às vezes",0.5,"-")))</f>
        <v>-</v>
      </c>
      <c r="E60" s="21" t="s">
        <v>250</v>
      </c>
      <c r="F60" s="22"/>
      <c r="G60" s="22" t="str">
        <f t="shared" si="12"/>
        <v>-</v>
      </c>
      <c r="H60" s="21" t="s">
        <v>251</v>
      </c>
      <c r="I60" s="22"/>
      <c r="J60" s="22" t="str">
        <f t="shared" si="13"/>
        <v>-</v>
      </c>
      <c r="K60" s="21" t="s">
        <v>252</v>
      </c>
      <c r="L60" s="22"/>
      <c r="M60" s="22" t="str">
        <f t="shared" si="10"/>
        <v>-</v>
      </c>
      <c r="N60" s="21" t="s">
        <v>253</v>
      </c>
      <c r="O60" s="22"/>
      <c r="P60" s="22" t="str">
        <f t="shared" ref="P60:P77" si="15">IF(O60="Sim",1,IF(O60="Não",0,IF(O60="Às vezes",0.5,"-")))</f>
        <v>-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1" t="s">
        <v>254</v>
      </c>
      <c r="C61" s="22"/>
      <c r="D61" s="22" t="str">
        <f t="shared" si="14"/>
        <v>-</v>
      </c>
      <c r="E61" s="21" t="s">
        <v>255</v>
      </c>
      <c r="F61" s="22"/>
      <c r="G61" s="22" t="str">
        <f t="shared" si="12"/>
        <v>-</v>
      </c>
      <c r="H61" s="21" t="s">
        <v>256</v>
      </c>
      <c r="I61" s="22"/>
      <c r="J61" s="22" t="str">
        <f t="shared" si="13"/>
        <v>-</v>
      </c>
      <c r="K61" s="21" t="s">
        <v>257</v>
      </c>
      <c r="L61" s="22"/>
      <c r="M61" s="22" t="str">
        <f t="shared" si="10"/>
        <v>-</v>
      </c>
      <c r="N61" s="21" t="s">
        <v>258</v>
      </c>
      <c r="O61" s="22"/>
      <c r="P61" s="22" t="str">
        <f t="shared" si="15"/>
        <v>-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1" t="s">
        <v>259</v>
      </c>
      <c r="C62" s="22"/>
      <c r="D62" s="22" t="str">
        <f t="shared" si="14"/>
        <v>-</v>
      </c>
      <c r="E62" s="21" t="s">
        <v>260</v>
      </c>
      <c r="F62" s="22"/>
      <c r="G62" s="22" t="str">
        <f t="shared" si="12"/>
        <v>-</v>
      </c>
      <c r="H62" s="21" t="s">
        <v>261</v>
      </c>
      <c r="I62" s="22"/>
      <c r="J62" s="22" t="str">
        <f t="shared" si="13"/>
        <v>-</v>
      </c>
      <c r="K62" s="21" t="s">
        <v>262</v>
      </c>
      <c r="L62" s="22"/>
      <c r="M62" s="22" t="str">
        <f t="shared" si="10"/>
        <v>-</v>
      </c>
      <c r="N62" s="21" t="s">
        <v>263</v>
      </c>
      <c r="O62" s="22"/>
      <c r="P62" s="22" t="str">
        <f t="shared" si="15"/>
        <v>-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1" t="s">
        <v>264</v>
      </c>
      <c r="C63" s="22"/>
      <c r="D63" s="22" t="str">
        <f t="shared" si="14"/>
        <v>-</v>
      </c>
      <c r="E63" s="21" t="s">
        <v>265</v>
      </c>
      <c r="F63" s="22"/>
      <c r="G63" s="22" t="str">
        <f t="shared" si="12"/>
        <v>-</v>
      </c>
      <c r="H63" s="21" t="s">
        <v>266</v>
      </c>
      <c r="I63" s="22"/>
      <c r="J63" s="22" t="str">
        <f t="shared" si="13"/>
        <v>-</v>
      </c>
      <c r="K63" s="21" t="s">
        <v>267</v>
      </c>
      <c r="L63" s="22"/>
      <c r="M63" s="22" t="str">
        <f t="shared" si="10"/>
        <v>-</v>
      </c>
      <c r="N63" s="21" t="s">
        <v>268</v>
      </c>
      <c r="O63" s="22"/>
      <c r="P63" s="22" t="str">
        <f t="shared" si="15"/>
        <v>-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1" t="s">
        <v>269</v>
      </c>
      <c r="C64" s="22"/>
      <c r="D64" s="22" t="str">
        <f t="shared" si="14"/>
        <v>-</v>
      </c>
      <c r="E64" s="21" t="s">
        <v>270</v>
      </c>
      <c r="F64" s="22"/>
      <c r="G64" s="22" t="str">
        <f t="shared" si="12"/>
        <v>-</v>
      </c>
      <c r="H64" s="21" t="s">
        <v>271</v>
      </c>
      <c r="I64" s="22"/>
      <c r="J64" s="22" t="str">
        <f t="shared" si="13"/>
        <v>-</v>
      </c>
      <c r="K64" s="21" t="s">
        <v>272</v>
      </c>
      <c r="L64" s="22"/>
      <c r="M64" s="22" t="str">
        <f t="shared" si="10"/>
        <v>-</v>
      </c>
      <c r="N64" s="21" t="s">
        <v>273</v>
      </c>
      <c r="O64" s="22"/>
      <c r="P64" s="22" t="str">
        <f t="shared" si="15"/>
        <v>-</v>
      </c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1" t="s">
        <v>274</v>
      </c>
      <c r="C65" s="22"/>
      <c r="D65" s="22" t="str">
        <f t="shared" si="14"/>
        <v>-</v>
      </c>
      <c r="E65" s="21" t="s">
        <v>275</v>
      </c>
      <c r="F65" s="22"/>
      <c r="G65" s="22" t="str">
        <f t="shared" si="12"/>
        <v>-</v>
      </c>
      <c r="H65" s="21" t="s">
        <v>276</v>
      </c>
      <c r="I65" s="22"/>
      <c r="J65" s="22" t="str">
        <f t="shared" si="13"/>
        <v>-</v>
      </c>
      <c r="K65" s="21" t="s">
        <v>277</v>
      </c>
      <c r="L65" s="22"/>
      <c r="M65" s="22" t="str">
        <f t="shared" si="10"/>
        <v>-</v>
      </c>
      <c r="N65" s="21" t="s">
        <v>278</v>
      </c>
      <c r="O65" s="22"/>
      <c r="P65" s="22" t="str">
        <f t="shared" si="15"/>
        <v>-</v>
      </c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1" t="s">
        <v>279</v>
      </c>
      <c r="C66" s="22"/>
      <c r="D66" s="22" t="str">
        <f t="shared" si="14"/>
        <v>-</v>
      </c>
      <c r="E66" s="21" t="s">
        <v>280</v>
      </c>
      <c r="F66" s="22"/>
      <c r="G66" s="22" t="str">
        <f t="shared" si="12"/>
        <v>-</v>
      </c>
      <c r="H66" s="21" t="s">
        <v>281</v>
      </c>
      <c r="I66" s="22"/>
      <c r="J66" s="22" t="str">
        <f t="shared" si="13"/>
        <v>-</v>
      </c>
      <c r="K66" s="21" t="s">
        <v>282</v>
      </c>
      <c r="L66" s="22"/>
      <c r="M66" s="22" t="str">
        <f t="shared" si="10"/>
        <v>-</v>
      </c>
      <c r="N66" s="21" t="s">
        <v>283</v>
      </c>
      <c r="O66" s="22"/>
      <c r="P66" s="22" t="str">
        <f t="shared" si="15"/>
        <v>-</v>
      </c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3.25" customHeight="1">
      <c r="A67" s="1"/>
      <c r="B67" s="21" t="s">
        <v>284</v>
      </c>
      <c r="C67" s="22"/>
      <c r="D67" s="22" t="str">
        <f t="shared" si="14"/>
        <v>-</v>
      </c>
      <c r="E67" s="21" t="s">
        <v>285</v>
      </c>
      <c r="F67" s="22"/>
      <c r="G67" s="22" t="str">
        <f t="shared" si="12"/>
        <v>-</v>
      </c>
      <c r="H67" s="21" t="s">
        <v>286</v>
      </c>
      <c r="I67" s="22"/>
      <c r="J67" s="22" t="str">
        <f t="shared" si="13"/>
        <v>-</v>
      </c>
      <c r="K67" s="21" t="s">
        <v>287</v>
      </c>
      <c r="L67" s="22"/>
      <c r="M67" s="22" t="str">
        <f t="shared" si="10"/>
        <v>-</v>
      </c>
      <c r="N67" s="21" t="s">
        <v>288</v>
      </c>
      <c r="O67" s="22"/>
      <c r="P67" s="22" t="str">
        <f t="shared" si="15"/>
        <v>-</v>
      </c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23" t="s">
        <v>72</v>
      </c>
      <c r="C68" s="16">
        <f>SUM(D60:D67)</f>
        <v>0</v>
      </c>
      <c r="D68" s="18"/>
      <c r="E68" s="21" t="s">
        <v>289</v>
      </c>
      <c r="F68" s="22"/>
      <c r="G68" s="22" t="str">
        <f t="shared" si="12"/>
        <v>-</v>
      </c>
      <c r="H68" s="21" t="s">
        <v>290</v>
      </c>
      <c r="I68" s="22"/>
      <c r="J68" s="22" t="str">
        <f t="shared" si="13"/>
        <v>-</v>
      </c>
      <c r="K68" s="21" t="s">
        <v>291</v>
      </c>
      <c r="L68" s="22"/>
      <c r="M68" s="22" t="str">
        <f t="shared" si="10"/>
        <v>-</v>
      </c>
      <c r="N68" s="21" t="s">
        <v>292</v>
      </c>
      <c r="O68" s="22"/>
      <c r="P68" s="22" t="str">
        <f t="shared" si="15"/>
        <v>-</v>
      </c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24" t="s">
        <v>293</v>
      </c>
      <c r="C69" s="17"/>
      <c r="D69" s="18"/>
      <c r="E69" s="21" t="s">
        <v>294</v>
      </c>
      <c r="F69" s="22"/>
      <c r="G69" s="22" t="str">
        <f t="shared" si="12"/>
        <v>-</v>
      </c>
      <c r="H69" s="21" t="s">
        <v>295</v>
      </c>
      <c r="I69" s="22"/>
      <c r="J69" s="22" t="str">
        <f t="shared" si="13"/>
        <v>-</v>
      </c>
      <c r="K69" s="23" t="s">
        <v>72</v>
      </c>
      <c r="L69" s="16">
        <f>SUM(M42:M68)</f>
        <v>0</v>
      </c>
      <c r="M69" s="18"/>
      <c r="N69" s="21" t="s">
        <v>296</v>
      </c>
      <c r="O69" s="22"/>
      <c r="P69" s="22" t="str">
        <f t="shared" si="15"/>
        <v>-</v>
      </c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5.5" customHeight="1">
      <c r="A70" s="1"/>
      <c r="B70" s="21" t="s">
        <v>297</v>
      </c>
      <c r="C70" s="22"/>
      <c r="D70" s="22" t="str">
        <f t="shared" ref="D70:D81" si="16">IF(C70="Sim",1,IF(C70="Não",0,IF(C70="Às vezes",0.5,"-")))</f>
        <v>-</v>
      </c>
      <c r="E70" s="21" t="s">
        <v>298</v>
      </c>
      <c r="F70" s="22"/>
      <c r="G70" s="22" t="str">
        <f t="shared" si="12"/>
        <v>-</v>
      </c>
      <c r="H70" s="21" t="s">
        <v>299</v>
      </c>
      <c r="I70" s="22"/>
      <c r="J70" s="22" t="str">
        <f t="shared" si="13"/>
        <v>-</v>
      </c>
      <c r="K70" s="24" t="s">
        <v>300</v>
      </c>
      <c r="L70" s="17"/>
      <c r="M70" s="18"/>
      <c r="N70" s="21" t="s">
        <v>301</v>
      </c>
      <c r="O70" s="22"/>
      <c r="P70" s="22" t="str">
        <f t="shared" si="15"/>
        <v>-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1" t="s">
        <v>302</v>
      </c>
      <c r="C71" s="22"/>
      <c r="D71" s="22" t="str">
        <f t="shared" si="16"/>
        <v>-</v>
      </c>
      <c r="E71" s="21" t="s">
        <v>303</v>
      </c>
      <c r="F71" s="22"/>
      <c r="G71" s="22" t="str">
        <f t="shared" si="12"/>
        <v>-</v>
      </c>
      <c r="H71" s="21" t="s">
        <v>304</v>
      </c>
      <c r="I71" s="22"/>
      <c r="J71" s="22" t="str">
        <f t="shared" si="13"/>
        <v>-</v>
      </c>
      <c r="K71" s="21" t="s">
        <v>305</v>
      </c>
      <c r="L71" s="22"/>
      <c r="M71" s="22" t="str">
        <f t="shared" ref="M71:M85" si="17">IF(L71="Sim",1,IF(L71="Não",0,IF(L71="Às vezes",0.5,"-")))</f>
        <v>-</v>
      </c>
      <c r="N71" s="21" t="s">
        <v>306</v>
      </c>
      <c r="O71" s="22"/>
      <c r="P71" s="22" t="str">
        <f t="shared" si="15"/>
        <v>-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1" t="s">
        <v>307</v>
      </c>
      <c r="C72" s="22"/>
      <c r="D72" s="22" t="str">
        <f t="shared" si="16"/>
        <v>-</v>
      </c>
      <c r="E72" s="21" t="s">
        <v>308</v>
      </c>
      <c r="F72" s="22"/>
      <c r="G72" s="22" t="str">
        <f t="shared" si="12"/>
        <v>-</v>
      </c>
      <c r="H72" s="21" t="s">
        <v>309</v>
      </c>
      <c r="I72" s="22"/>
      <c r="J72" s="22" t="str">
        <f t="shared" si="13"/>
        <v>-</v>
      </c>
      <c r="K72" s="21" t="s">
        <v>310</v>
      </c>
      <c r="L72" s="22"/>
      <c r="M72" s="22" t="str">
        <f t="shared" si="17"/>
        <v>-</v>
      </c>
      <c r="N72" s="21" t="s">
        <v>311</v>
      </c>
      <c r="O72" s="22"/>
      <c r="P72" s="22" t="str">
        <f t="shared" si="15"/>
        <v>-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1" t="s">
        <v>312</v>
      </c>
      <c r="C73" s="22"/>
      <c r="D73" s="22" t="str">
        <f t="shared" si="16"/>
        <v>-</v>
      </c>
      <c r="E73" s="21" t="s">
        <v>313</v>
      </c>
      <c r="F73" s="22"/>
      <c r="G73" s="22" t="str">
        <f t="shared" si="12"/>
        <v>-</v>
      </c>
      <c r="H73" s="21" t="s">
        <v>314</v>
      </c>
      <c r="I73" s="22"/>
      <c r="J73" s="22" t="str">
        <f t="shared" si="13"/>
        <v>-</v>
      </c>
      <c r="K73" s="21" t="s">
        <v>315</v>
      </c>
      <c r="L73" s="22"/>
      <c r="M73" s="22" t="str">
        <f t="shared" si="17"/>
        <v>-</v>
      </c>
      <c r="N73" s="21" t="s">
        <v>316</v>
      </c>
      <c r="O73" s="22"/>
      <c r="P73" s="22" t="str">
        <f t="shared" si="15"/>
        <v>-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1" t="s">
        <v>317</v>
      </c>
      <c r="C74" s="22"/>
      <c r="D74" s="22" t="str">
        <f t="shared" si="16"/>
        <v>-</v>
      </c>
      <c r="E74" s="21" t="s">
        <v>318</v>
      </c>
      <c r="F74" s="22"/>
      <c r="G74" s="22" t="str">
        <f t="shared" si="12"/>
        <v>-</v>
      </c>
      <c r="H74" s="21" t="s">
        <v>319</v>
      </c>
      <c r="I74" s="22"/>
      <c r="J74" s="22" t="str">
        <f t="shared" si="13"/>
        <v>-</v>
      </c>
      <c r="K74" s="21" t="s">
        <v>320</v>
      </c>
      <c r="L74" s="22"/>
      <c r="M74" s="22" t="str">
        <f t="shared" si="17"/>
        <v>-</v>
      </c>
      <c r="N74" s="21" t="s">
        <v>321</v>
      </c>
      <c r="O74" s="22"/>
      <c r="P74" s="22" t="str">
        <f t="shared" si="15"/>
        <v>-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1" t="s">
        <v>322</v>
      </c>
      <c r="C75" s="22"/>
      <c r="D75" s="22" t="str">
        <f t="shared" si="16"/>
        <v>-</v>
      </c>
      <c r="E75" s="23" t="s">
        <v>72</v>
      </c>
      <c r="F75" s="16">
        <f>SUM(G45:G74)</f>
        <v>0</v>
      </c>
      <c r="G75" s="18"/>
      <c r="H75" s="21" t="s">
        <v>323</v>
      </c>
      <c r="I75" s="22"/>
      <c r="J75" s="22" t="str">
        <f t="shared" si="13"/>
        <v>-</v>
      </c>
      <c r="K75" s="21" t="s">
        <v>324</v>
      </c>
      <c r="L75" s="22"/>
      <c r="M75" s="22" t="str">
        <f t="shared" si="17"/>
        <v>-</v>
      </c>
      <c r="N75" s="21" t="s">
        <v>325</v>
      </c>
      <c r="O75" s="22"/>
      <c r="P75" s="22" t="str">
        <f t="shared" si="15"/>
        <v>-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1" t="s">
        <v>326</v>
      </c>
      <c r="C76" s="22"/>
      <c r="D76" s="22" t="str">
        <f t="shared" si="16"/>
        <v>-</v>
      </c>
      <c r="E76" s="24" t="s">
        <v>327</v>
      </c>
      <c r="F76" s="17"/>
      <c r="G76" s="18"/>
      <c r="H76" s="21" t="s">
        <v>328</v>
      </c>
      <c r="I76" s="22"/>
      <c r="J76" s="22" t="str">
        <f t="shared" si="13"/>
        <v>-</v>
      </c>
      <c r="K76" s="21" t="s">
        <v>329</v>
      </c>
      <c r="L76" s="22"/>
      <c r="M76" s="22" t="str">
        <f t="shared" si="17"/>
        <v>-</v>
      </c>
      <c r="N76" s="21" t="s">
        <v>330</v>
      </c>
      <c r="O76" s="22"/>
      <c r="P76" s="22" t="str">
        <f t="shared" si="15"/>
        <v>-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1" t="s">
        <v>331</v>
      </c>
      <c r="C77" s="22"/>
      <c r="D77" s="22" t="str">
        <f t="shared" si="16"/>
        <v>-</v>
      </c>
      <c r="E77" s="21" t="s">
        <v>332</v>
      </c>
      <c r="F77" s="22"/>
      <c r="G77" s="22" t="str">
        <f t="shared" ref="G77:G88" si="18">IF(F77="Sim",1,IF(F77="Não",0,IF(F77="Às vezes",0.5,"-")))</f>
        <v>-</v>
      </c>
      <c r="H77" s="21" t="s">
        <v>333</v>
      </c>
      <c r="I77" s="22"/>
      <c r="J77" s="22" t="str">
        <f t="shared" si="13"/>
        <v>-</v>
      </c>
      <c r="K77" s="21" t="s">
        <v>334</v>
      </c>
      <c r="L77" s="22"/>
      <c r="M77" s="22" t="str">
        <f t="shared" si="17"/>
        <v>-</v>
      </c>
      <c r="N77" s="21" t="s">
        <v>335</v>
      </c>
      <c r="O77" s="22"/>
      <c r="P77" s="22" t="str">
        <f t="shared" si="15"/>
        <v>-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21" t="s">
        <v>336</v>
      </c>
      <c r="C78" s="22"/>
      <c r="D78" s="22" t="str">
        <f t="shared" si="16"/>
        <v>-</v>
      </c>
      <c r="E78" s="21" t="s">
        <v>337</v>
      </c>
      <c r="F78" s="22"/>
      <c r="G78" s="22" t="str">
        <f t="shared" si="18"/>
        <v>-</v>
      </c>
      <c r="H78" s="21" t="s">
        <v>338</v>
      </c>
      <c r="I78" s="22"/>
      <c r="J78" s="22" t="str">
        <f t="shared" si="13"/>
        <v>-</v>
      </c>
      <c r="K78" s="21" t="s">
        <v>339</v>
      </c>
      <c r="L78" s="22"/>
      <c r="M78" s="22" t="str">
        <f t="shared" si="17"/>
        <v>-</v>
      </c>
      <c r="N78" s="23" t="s">
        <v>72</v>
      </c>
      <c r="O78" s="16">
        <f>SUM(P60:P77)</f>
        <v>0</v>
      </c>
      <c r="P78" s="18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1" t="s">
        <v>340</v>
      </c>
      <c r="C79" s="22"/>
      <c r="D79" s="22" t="str">
        <f t="shared" si="16"/>
        <v>-</v>
      </c>
      <c r="E79" s="21" t="s">
        <v>341</v>
      </c>
      <c r="F79" s="22"/>
      <c r="G79" s="22" t="str">
        <f t="shared" si="18"/>
        <v>-</v>
      </c>
      <c r="H79" s="21" t="s">
        <v>342</v>
      </c>
      <c r="I79" s="22"/>
      <c r="J79" s="22" t="str">
        <f t="shared" si="13"/>
        <v>-</v>
      </c>
      <c r="K79" s="21" t="s">
        <v>343</v>
      </c>
      <c r="L79" s="22"/>
      <c r="M79" s="22" t="str">
        <f t="shared" si="17"/>
        <v>-</v>
      </c>
      <c r="N79" s="24" t="s">
        <v>344</v>
      </c>
      <c r="O79" s="17"/>
      <c r="P79" s="18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1" t="s">
        <v>345</v>
      </c>
      <c r="C80" s="22"/>
      <c r="D80" s="22" t="str">
        <f t="shared" si="16"/>
        <v>-</v>
      </c>
      <c r="E80" s="21" t="s">
        <v>346</v>
      </c>
      <c r="F80" s="22"/>
      <c r="G80" s="22" t="str">
        <f t="shared" si="18"/>
        <v>-</v>
      </c>
      <c r="H80" s="21" t="s">
        <v>347</v>
      </c>
      <c r="I80" s="22"/>
      <c r="J80" s="22" t="str">
        <f t="shared" si="13"/>
        <v>-</v>
      </c>
      <c r="K80" s="21" t="s">
        <v>348</v>
      </c>
      <c r="L80" s="22"/>
      <c r="M80" s="22" t="str">
        <f t="shared" si="17"/>
        <v>-</v>
      </c>
      <c r="N80" s="21" t="s">
        <v>349</v>
      </c>
      <c r="O80" s="22"/>
      <c r="P80" s="22" t="str">
        <f t="shared" ref="P80:P96" si="19">IF(O80="Sim",1,IF(O80="Não",0,IF(O80="Às vezes",0.5,"-")))</f>
        <v>-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1" t="s">
        <v>350</v>
      </c>
      <c r="C81" s="22"/>
      <c r="D81" s="22" t="str">
        <f t="shared" si="16"/>
        <v>-</v>
      </c>
      <c r="E81" s="21" t="s">
        <v>351</v>
      </c>
      <c r="F81" s="22"/>
      <c r="G81" s="22" t="str">
        <f t="shared" si="18"/>
        <v>-</v>
      </c>
      <c r="H81" s="21" t="s">
        <v>352</v>
      </c>
      <c r="I81" s="22"/>
      <c r="J81" s="22" t="str">
        <f t="shared" si="13"/>
        <v>-</v>
      </c>
      <c r="K81" s="21" t="s">
        <v>353</v>
      </c>
      <c r="L81" s="22"/>
      <c r="M81" s="22" t="str">
        <f t="shared" si="17"/>
        <v>-</v>
      </c>
      <c r="N81" s="21" t="s">
        <v>354</v>
      </c>
      <c r="O81" s="22"/>
      <c r="P81" s="22" t="str">
        <f t="shared" si="19"/>
        <v>-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0.25" customHeight="1">
      <c r="A82" s="1"/>
      <c r="B82" s="23" t="s">
        <v>72</v>
      </c>
      <c r="C82" s="16">
        <f>SUM(D70:D81)</f>
        <v>0</v>
      </c>
      <c r="D82" s="18"/>
      <c r="E82" s="21" t="s">
        <v>355</v>
      </c>
      <c r="F82" s="22"/>
      <c r="G82" s="22" t="str">
        <f t="shared" si="18"/>
        <v>-</v>
      </c>
      <c r="H82" s="21" t="s">
        <v>356</v>
      </c>
      <c r="I82" s="22"/>
      <c r="J82" s="22" t="str">
        <f t="shared" si="13"/>
        <v>-</v>
      </c>
      <c r="K82" s="21" t="s">
        <v>357</v>
      </c>
      <c r="L82" s="22"/>
      <c r="M82" s="22" t="str">
        <f t="shared" si="17"/>
        <v>-</v>
      </c>
      <c r="N82" s="21" t="s">
        <v>358</v>
      </c>
      <c r="O82" s="22"/>
      <c r="P82" s="22" t="str">
        <f t="shared" si="19"/>
        <v>-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9.25" customHeight="1">
      <c r="A83" s="1"/>
      <c r="B83" s="24" t="s">
        <v>359</v>
      </c>
      <c r="C83" s="17"/>
      <c r="D83" s="18"/>
      <c r="E83" s="21" t="s">
        <v>360</v>
      </c>
      <c r="F83" s="22"/>
      <c r="G83" s="22" t="str">
        <f t="shared" si="18"/>
        <v>-</v>
      </c>
      <c r="H83" s="23" t="s">
        <v>72</v>
      </c>
      <c r="I83" s="16">
        <f>SUM(J59:J82)</f>
        <v>0</v>
      </c>
      <c r="J83" s="18"/>
      <c r="K83" s="21" t="s">
        <v>361</v>
      </c>
      <c r="L83" s="22"/>
      <c r="M83" s="22" t="str">
        <f t="shared" si="17"/>
        <v>-</v>
      </c>
      <c r="N83" s="21" t="s">
        <v>362</v>
      </c>
      <c r="O83" s="22"/>
      <c r="P83" s="22" t="str">
        <f t="shared" si="19"/>
        <v>-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6.25" customHeight="1">
      <c r="A84" s="1"/>
      <c r="B84" s="21" t="s">
        <v>363</v>
      </c>
      <c r="C84" s="22"/>
      <c r="D84" s="22" t="str">
        <f t="shared" ref="D84:D92" si="20">IF(C84="Sim",1,IF(C84="Não",0,IF(C84="Às vezes",0.5,"-")))</f>
        <v>-</v>
      </c>
      <c r="E84" s="21" t="s">
        <v>364</v>
      </c>
      <c r="F84" s="22"/>
      <c r="G84" s="22" t="str">
        <f t="shared" si="18"/>
        <v>-</v>
      </c>
      <c r="H84" s="24" t="s">
        <v>365</v>
      </c>
      <c r="I84" s="17"/>
      <c r="J84" s="18"/>
      <c r="K84" s="21" t="s">
        <v>366</v>
      </c>
      <c r="L84" s="22"/>
      <c r="M84" s="22" t="str">
        <f t="shared" si="17"/>
        <v>-</v>
      </c>
      <c r="N84" s="21" t="s">
        <v>367</v>
      </c>
      <c r="O84" s="22"/>
      <c r="P84" s="22" t="str">
        <f t="shared" si="19"/>
        <v>-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1" t="s">
        <v>368</v>
      </c>
      <c r="C85" s="22"/>
      <c r="D85" s="22" t="str">
        <f t="shared" si="20"/>
        <v>-</v>
      </c>
      <c r="E85" s="21" t="s">
        <v>369</v>
      </c>
      <c r="F85" s="22"/>
      <c r="G85" s="22" t="str">
        <f t="shared" si="18"/>
        <v>-</v>
      </c>
      <c r="H85" s="21" t="s">
        <v>370</v>
      </c>
      <c r="I85" s="22"/>
      <c r="J85" s="22" t="str">
        <f t="shared" ref="J85:J106" si="21">IF(I85="Sim",1,IF(I85="Não",0,IF(I85="Às vezes",0.5,"-")))</f>
        <v>-</v>
      </c>
      <c r="K85" s="21" t="s">
        <v>371</v>
      </c>
      <c r="L85" s="22"/>
      <c r="M85" s="22" t="str">
        <f t="shared" si="17"/>
        <v>-</v>
      </c>
      <c r="N85" s="21" t="s">
        <v>372</v>
      </c>
      <c r="O85" s="22"/>
      <c r="P85" s="22" t="str">
        <f t="shared" si="19"/>
        <v>-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21" t="s">
        <v>373</v>
      </c>
      <c r="C86" s="22"/>
      <c r="D86" s="22" t="str">
        <f t="shared" si="20"/>
        <v>-</v>
      </c>
      <c r="E86" s="21" t="s">
        <v>374</v>
      </c>
      <c r="F86" s="22"/>
      <c r="G86" s="22" t="str">
        <f t="shared" si="18"/>
        <v>-</v>
      </c>
      <c r="H86" s="21" t="s">
        <v>375</v>
      </c>
      <c r="I86" s="22"/>
      <c r="J86" s="22" t="str">
        <f t="shared" si="21"/>
        <v>-</v>
      </c>
      <c r="K86" s="23" t="s">
        <v>72</v>
      </c>
      <c r="L86" s="16">
        <f>SUM(M71:M85)</f>
        <v>0</v>
      </c>
      <c r="M86" s="18"/>
      <c r="N86" s="21" t="s">
        <v>376</v>
      </c>
      <c r="O86" s="22"/>
      <c r="P86" s="22" t="str">
        <f t="shared" si="19"/>
        <v>-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75" customHeight="1">
      <c r="A87" s="1"/>
      <c r="B87" s="21" t="s">
        <v>377</v>
      </c>
      <c r="C87" s="22"/>
      <c r="D87" s="22" t="str">
        <f t="shared" si="20"/>
        <v>-</v>
      </c>
      <c r="E87" s="21" t="s">
        <v>378</v>
      </c>
      <c r="F87" s="22"/>
      <c r="G87" s="22" t="str">
        <f t="shared" si="18"/>
        <v>-</v>
      </c>
      <c r="H87" s="21" t="s">
        <v>379</v>
      </c>
      <c r="I87" s="22"/>
      <c r="J87" s="22" t="str">
        <f t="shared" si="21"/>
        <v>-</v>
      </c>
      <c r="K87" s="24" t="s">
        <v>380</v>
      </c>
      <c r="L87" s="17"/>
      <c r="M87" s="18"/>
      <c r="N87" s="21" t="s">
        <v>381</v>
      </c>
      <c r="O87" s="22"/>
      <c r="P87" s="22" t="str">
        <f t="shared" si="19"/>
        <v>-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1" t="s">
        <v>382</v>
      </c>
      <c r="C88" s="22"/>
      <c r="D88" s="22" t="str">
        <f t="shared" si="20"/>
        <v>-</v>
      </c>
      <c r="E88" s="21" t="s">
        <v>383</v>
      </c>
      <c r="F88" s="22"/>
      <c r="G88" s="22" t="str">
        <f t="shared" si="18"/>
        <v>-</v>
      </c>
      <c r="H88" s="21" t="s">
        <v>384</v>
      </c>
      <c r="I88" s="22"/>
      <c r="J88" s="22" t="str">
        <f t="shared" si="21"/>
        <v>-</v>
      </c>
      <c r="K88" s="21" t="s">
        <v>385</v>
      </c>
      <c r="L88" s="22"/>
      <c r="M88" s="22" t="str">
        <f t="shared" ref="M88:M110" si="22">IF(L88="Sim",1,IF(L88="Não",0,IF(L88="Às vezes",0.5,"-")))</f>
        <v>-</v>
      </c>
      <c r="N88" s="21" t="s">
        <v>386</v>
      </c>
      <c r="O88" s="22"/>
      <c r="P88" s="22" t="str">
        <f t="shared" si="19"/>
        <v>-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1" t="s">
        <v>387</v>
      </c>
      <c r="C89" s="22"/>
      <c r="D89" s="22" t="str">
        <f t="shared" si="20"/>
        <v>-</v>
      </c>
      <c r="E89" s="23" t="s">
        <v>72</v>
      </c>
      <c r="F89" s="16">
        <f>SUM(G77:G88)</f>
        <v>0</v>
      </c>
      <c r="G89" s="18"/>
      <c r="H89" s="21" t="s">
        <v>388</v>
      </c>
      <c r="I89" s="22"/>
      <c r="J89" s="22" t="str">
        <f t="shared" si="21"/>
        <v>-</v>
      </c>
      <c r="K89" s="21" t="s">
        <v>389</v>
      </c>
      <c r="L89" s="22"/>
      <c r="M89" s="22" t="str">
        <f t="shared" si="22"/>
        <v>-</v>
      </c>
      <c r="N89" s="21" t="s">
        <v>390</v>
      </c>
      <c r="O89" s="22"/>
      <c r="P89" s="22" t="str">
        <f t="shared" si="19"/>
        <v>-</v>
      </c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1" t="s">
        <v>391</v>
      </c>
      <c r="C90" s="22"/>
      <c r="D90" s="22" t="str">
        <f t="shared" si="20"/>
        <v>-</v>
      </c>
      <c r="E90" s="24" t="s">
        <v>392</v>
      </c>
      <c r="F90" s="17"/>
      <c r="G90" s="18"/>
      <c r="H90" s="21" t="s">
        <v>393</v>
      </c>
      <c r="I90" s="22"/>
      <c r="J90" s="22" t="str">
        <f t="shared" si="21"/>
        <v>-</v>
      </c>
      <c r="K90" s="21" t="s">
        <v>394</v>
      </c>
      <c r="L90" s="22"/>
      <c r="M90" s="22" t="str">
        <f t="shared" si="22"/>
        <v>-</v>
      </c>
      <c r="N90" s="21" t="s">
        <v>395</v>
      </c>
      <c r="O90" s="22"/>
      <c r="P90" s="22" t="str">
        <f t="shared" si="19"/>
        <v>-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1" t="s">
        <v>396</v>
      </c>
      <c r="C91" s="22"/>
      <c r="D91" s="22" t="str">
        <f t="shared" si="20"/>
        <v>-</v>
      </c>
      <c r="E91" s="21" t="s">
        <v>397</v>
      </c>
      <c r="F91" s="22"/>
      <c r="G91" s="22" t="str">
        <f t="shared" ref="G91:G105" si="23">IF(F91="Sim",1,IF(F91="Não",0,IF(F91="Às vezes",0.5,"-")))</f>
        <v>-</v>
      </c>
      <c r="H91" s="21" t="s">
        <v>398</v>
      </c>
      <c r="I91" s="22"/>
      <c r="J91" s="22" t="str">
        <f t="shared" si="21"/>
        <v>-</v>
      </c>
      <c r="K91" s="21" t="s">
        <v>399</v>
      </c>
      <c r="L91" s="22"/>
      <c r="M91" s="22" t="str">
        <f t="shared" si="22"/>
        <v>-</v>
      </c>
      <c r="N91" s="21" t="s">
        <v>400</v>
      </c>
      <c r="O91" s="22"/>
      <c r="P91" s="22" t="str">
        <f t="shared" si="19"/>
        <v>-</v>
      </c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1" t="s">
        <v>401</v>
      </c>
      <c r="C92" s="22"/>
      <c r="D92" s="22" t="str">
        <f t="shared" si="20"/>
        <v>-</v>
      </c>
      <c r="E92" s="21" t="s">
        <v>402</v>
      </c>
      <c r="F92" s="22"/>
      <c r="G92" s="22" t="str">
        <f t="shared" si="23"/>
        <v>-</v>
      </c>
      <c r="H92" s="21" t="s">
        <v>403</v>
      </c>
      <c r="I92" s="22"/>
      <c r="J92" s="22" t="str">
        <f t="shared" si="21"/>
        <v>-</v>
      </c>
      <c r="K92" s="21" t="s">
        <v>404</v>
      </c>
      <c r="L92" s="22"/>
      <c r="M92" s="22" t="str">
        <f t="shared" si="22"/>
        <v>-</v>
      </c>
      <c r="N92" s="21" t="s">
        <v>405</v>
      </c>
      <c r="O92" s="22"/>
      <c r="P92" s="22" t="str">
        <f t="shared" si="19"/>
        <v>-</v>
      </c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23" t="s">
        <v>72</v>
      </c>
      <c r="C93" s="16">
        <f>SUM(D84:D92)</f>
        <v>0</v>
      </c>
      <c r="D93" s="18"/>
      <c r="E93" s="21" t="s">
        <v>406</v>
      </c>
      <c r="F93" s="22"/>
      <c r="G93" s="22" t="str">
        <f t="shared" si="23"/>
        <v>-</v>
      </c>
      <c r="H93" s="21" t="s">
        <v>407</v>
      </c>
      <c r="I93" s="22"/>
      <c r="J93" s="22" t="str">
        <f t="shared" si="21"/>
        <v>-</v>
      </c>
      <c r="K93" s="21" t="s">
        <v>408</v>
      </c>
      <c r="L93" s="22"/>
      <c r="M93" s="22" t="str">
        <f t="shared" si="22"/>
        <v>-</v>
      </c>
      <c r="N93" s="21" t="s">
        <v>409</v>
      </c>
      <c r="O93" s="22"/>
      <c r="P93" s="22" t="str">
        <f t="shared" si="19"/>
        <v>-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4" t="s">
        <v>410</v>
      </c>
      <c r="C94" s="17"/>
      <c r="D94" s="18"/>
      <c r="E94" s="21" t="s">
        <v>411</v>
      </c>
      <c r="F94" s="22"/>
      <c r="G94" s="22" t="str">
        <f t="shared" si="23"/>
        <v>-</v>
      </c>
      <c r="H94" s="21" t="s">
        <v>412</v>
      </c>
      <c r="I94" s="22"/>
      <c r="J94" s="22" t="str">
        <f t="shared" si="21"/>
        <v>-</v>
      </c>
      <c r="K94" s="21" t="s">
        <v>413</v>
      </c>
      <c r="L94" s="22"/>
      <c r="M94" s="22" t="str">
        <f t="shared" si="22"/>
        <v>-</v>
      </c>
      <c r="N94" s="21" t="s">
        <v>414</v>
      </c>
      <c r="O94" s="22"/>
      <c r="P94" s="22" t="str">
        <f t="shared" si="19"/>
        <v>-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1" t="s">
        <v>415</v>
      </c>
      <c r="C95" s="22"/>
      <c r="D95" s="22" t="str">
        <f t="shared" ref="D95:D105" si="24">IF(C95="Sim",1,IF(C95="Não",0,IF(C95="Às vezes",0.5,"-")))</f>
        <v>-</v>
      </c>
      <c r="E95" s="21" t="s">
        <v>416</v>
      </c>
      <c r="F95" s="22"/>
      <c r="G95" s="22" t="str">
        <f t="shared" si="23"/>
        <v>-</v>
      </c>
      <c r="H95" s="21" t="s">
        <v>417</v>
      </c>
      <c r="I95" s="22"/>
      <c r="J95" s="22" t="str">
        <f t="shared" si="21"/>
        <v>-</v>
      </c>
      <c r="K95" s="21" t="s">
        <v>418</v>
      </c>
      <c r="L95" s="22"/>
      <c r="M95" s="22" t="str">
        <f t="shared" si="22"/>
        <v>-</v>
      </c>
      <c r="N95" s="21" t="s">
        <v>419</v>
      </c>
      <c r="O95" s="22"/>
      <c r="P95" s="22" t="str">
        <f t="shared" si="19"/>
        <v>-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1" t="s">
        <v>420</v>
      </c>
      <c r="C96" s="22"/>
      <c r="D96" s="22" t="str">
        <f t="shared" si="24"/>
        <v>-</v>
      </c>
      <c r="E96" s="21" t="s">
        <v>421</v>
      </c>
      <c r="F96" s="22"/>
      <c r="G96" s="22" t="str">
        <f t="shared" si="23"/>
        <v>-</v>
      </c>
      <c r="H96" s="21" t="s">
        <v>422</v>
      </c>
      <c r="I96" s="22"/>
      <c r="J96" s="22" t="str">
        <f t="shared" si="21"/>
        <v>-</v>
      </c>
      <c r="K96" s="21" t="s">
        <v>423</v>
      </c>
      <c r="L96" s="22"/>
      <c r="M96" s="22" t="str">
        <f t="shared" si="22"/>
        <v>-</v>
      </c>
      <c r="N96" s="21" t="s">
        <v>424</v>
      </c>
      <c r="O96" s="22"/>
      <c r="P96" s="22" t="str">
        <f t="shared" si="19"/>
        <v>-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1" t="s">
        <v>425</v>
      </c>
      <c r="C97" s="22"/>
      <c r="D97" s="22" t="str">
        <f t="shared" si="24"/>
        <v>-</v>
      </c>
      <c r="E97" s="21" t="s">
        <v>426</v>
      </c>
      <c r="F97" s="22"/>
      <c r="G97" s="22" t="str">
        <f t="shared" si="23"/>
        <v>-</v>
      </c>
      <c r="H97" s="21" t="s">
        <v>427</v>
      </c>
      <c r="I97" s="22"/>
      <c r="J97" s="22" t="str">
        <f t="shared" si="21"/>
        <v>-</v>
      </c>
      <c r="K97" s="21" t="s">
        <v>428</v>
      </c>
      <c r="L97" s="22"/>
      <c r="M97" s="22" t="str">
        <f t="shared" si="22"/>
        <v>-</v>
      </c>
      <c r="N97" s="23" t="s">
        <v>72</v>
      </c>
      <c r="O97" s="16">
        <f>SUM(P80:P96)</f>
        <v>0</v>
      </c>
      <c r="P97" s="18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1" t="s">
        <v>429</v>
      </c>
      <c r="C98" s="22"/>
      <c r="D98" s="22" t="str">
        <f t="shared" si="24"/>
        <v>-</v>
      </c>
      <c r="E98" s="21" t="s">
        <v>430</v>
      </c>
      <c r="F98" s="22"/>
      <c r="G98" s="22" t="str">
        <f t="shared" si="23"/>
        <v>-</v>
      </c>
      <c r="H98" s="21" t="s">
        <v>431</v>
      </c>
      <c r="I98" s="22"/>
      <c r="J98" s="22" t="str">
        <f t="shared" si="21"/>
        <v>-</v>
      </c>
      <c r="K98" s="21" t="s">
        <v>432</v>
      </c>
      <c r="L98" s="22"/>
      <c r="M98" s="22" t="str">
        <f t="shared" si="22"/>
        <v>-</v>
      </c>
      <c r="N98" s="24" t="s">
        <v>433</v>
      </c>
      <c r="O98" s="17"/>
      <c r="P98" s="18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21" t="s">
        <v>434</v>
      </c>
      <c r="C99" s="22"/>
      <c r="D99" s="22" t="str">
        <f t="shared" si="24"/>
        <v>-</v>
      </c>
      <c r="E99" s="21" t="s">
        <v>435</v>
      </c>
      <c r="F99" s="22"/>
      <c r="G99" s="22" t="str">
        <f t="shared" si="23"/>
        <v>-</v>
      </c>
      <c r="H99" s="21" t="s">
        <v>436</v>
      </c>
      <c r="I99" s="22"/>
      <c r="J99" s="22" t="str">
        <f t="shared" si="21"/>
        <v>-</v>
      </c>
      <c r="K99" s="21" t="s">
        <v>437</v>
      </c>
      <c r="L99" s="22"/>
      <c r="M99" s="22" t="str">
        <f t="shared" si="22"/>
        <v>-</v>
      </c>
      <c r="N99" s="21" t="s">
        <v>438</v>
      </c>
      <c r="O99" s="22"/>
      <c r="P99" s="22" t="str">
        <f t="shared" ref="P99:P113" si="25">IF(O99="Sim",1,IF(O99="Não",0,IF(O99="Às vezes",0.5,"-")))</f>
        <v>-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21" t="s">
        <v>439</v>
      </c>
      <c r="C100" s="22"/>
      <c r="D100" s="22" t="str">
        <f t="shared" si="24"/>
        <v>-</v>
      </c>
      <c r="E100" s="21" t="s">
        <v>440</v>
      </c>
      <c r="F100" s="22"/>
      <c r="G100" s="22" t="str">
        <f t="shared" si="23"/>
        <v>-</v>
      </c>
      <c r="H100" s="21" t="s">
        <v>441</v>
      </c>
      <c r="I100" s="22"/>
      <c r="J100" s="22" t="str">
        <f t="shared" si="21"/>
        <v>-</v>
      </c>
      <c r="K100" s="21" t="s">
        <v>442</v>
      </c>
      <c r="L100" s="22"/>
      <c r="M100" s="22" t="str">
        <f t="shared" si="22"/>
        <v>-</v>
      </c>
      <c r="N100" s="21" t="s">
        <v>443</v>
      </c>
      <c r="O100" s="22"/>
      <c r="P100" s="22" t="str">
        <f t="shared" si="25"/>
        <v>-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5.5" customHeight="1">
      <c r="A101" s="1"/>
      <c r="B101" s="21" t="s">
        <v>444</v>
      </c>
      <c r="C101" s="22"/>
      <c r="D101" s="22" t="str">
        <f t="shared" si="24"/>
        <v>-</v>
      </c>
      <c r="E101" s="21" t="s">
        <v>445</v>
      </c>
      <c r="F101" s="22"/>
      <c r="G101" s="22" t="str">
        <f t="shared" si="23"/>
        <v>-</v>
      </c>
      <c r="H101" s="21" t="s">
        <v>446</v>
      </c>
      <c r="I101" s="22"/>
      <c r="J101" s="22" t="str">
        <f t="shared" si="21"/>
        <v>-</v>
      </c>
      <c r="K101" s="21" t="s">
        <v>447</v>
      </c>
      <c r="L101" s="22"/>
      <c r="M101" s="22" t="str">
        <f t="shared" si="22"/>
        <v>-</v>
      </c>
      <c r="N101" s="21" t="s">
        <v>448</v>
      </c>
      <c r="O101" s="22"/>
      <c r="P101" s="22" t="str">
        <f t="shared" si="25"/>
        <v>-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1.75" customHeight="1">
      <c r="A102" s="1"/>
      <c r="B102" s="21" t="s">
        <v>449</v>
      </c>
      <c r="C102" s="22"/>
      <c r="D102" s="22" t="str">
        <f t="shared" si="24"/>
        <v>-</v>
      </c>
      <c r="E102" s="21" t="s">
        <v>450</v>
      </c>
      <c r="F102" s="22"/>
      <c r="G102" s="22" t="str">
        <f t="shared" si="23"/>
        <v>-</v>
      </c>
      <c r="H102" s="21" t="s">
        <v>451</v>
      </c>
      <c r="I102" s="22"/>
      <c r="J102" s="22" t="str">
        <f t="shared" si="21"/>
        <v>-</v>
      </c>
      <c r="K102" s="21" t="s">
        <v>452</v>
      </c>
      <c r="L102" s="22"/>
      <c r="M102" s="22" t="str">
        <f t="shared" si="22"/>
        <v>-</v>
      </c>
      <c r="N102" s="21" t="s">
        <v>453</v>
      </c>
      <c r="O102" s="22"/>
      <c r="P102" s="22" t="str">
        <f t="shared" si="25"/>
        <v>-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21" t="s">
        <v>454</v>
      </c>
      <c r="C103" s="22"/>
      <c r="D103" s="22" t="str">
        <f t="shared" si="24"/>
        <v>-</v>
      </c>
      <c r="E103" s="21" t="s">
        <v>455</v>
      </c>
      <c r="F103" s="22"/>
      <c r="G103" s="22" t="str">
        <f t="shared" si="23"/>
        <v>-</v>
      </c>
      <c r="H103" s="21" t="s">
        <v>456</v>
      </c>
      <c r="I103" s="22"/>
      <c r="J103" s="22" t="str">
        <f t="shared" si="21"/>
        <v>-</v>
      </c>
      <c r="K103" s="21" t="s">
        <v>457</v>
      </c>
      <c r="L103" s="22"/>
      <c r="M103" s="22" t="str">
        <f t="shared" si="22"/>
        <v>-</v>
      </c>
      <c r="N103" s="21" t="s">
        <v>458</v>
      </c>
      <c r="O103" s="22"/>
      <c r="P103" s="22" t="str">
        <f t="shared" si="25"/>
        <v>-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21" t="s">
        <v>459</v>
      </c>
      <c r="C104" s="22"/>
      <c r="D104" s="22" t="str">
        <f t="shared" si="24"/>
        <v>-</v>
      </c>
      <c r="E104" s="21" t="s">
        <v>460</v>
      </c>
      <c r="F104" s="22"/>
      <c r="G104" s="22" t="str">
        <f t="shared" si="23"/>
        <v>-</v>
      </c>
      <c r="H104" s="21" t="s">
        <v>461</v>
      </c>
      <c r="I104" s="22"/>
      <c r="J104" s="22" t="str">
        <f t="shared" si="21"/>
        <v>-</v>
      </c>
      <c r="K104" s="21" t="s">
        <v>462</v>
      </c>
      <c r="L104" s="22"/>
      <c r="M104" s="22" t="str">
        <f t="shared" si="22"/>
        <v>-</v>
      </c>
      <c r="N104" s="21" t="s">
        <v>463</v>
      </c>
      <c r="O104" s="22"/>
      <c r="P104" s="22" t="str">
        <f t="shared" si="25"/>
        <v>-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5"/>
      <c r="B105" s="21" t="s">
        <v>464</v>
      </c>
      <c r="C105" s="22"/>
      <c r="D105" s="22" t="str">
        <f t="shared" si="24"/>
        <v>-</v>
      </c>
      <c r="E105" s="21" t="s">
        <v>465</v>
      </c>
      <c r="F105" s="22"/>
      <c r="G105" s="22" t="str">
        <f t="shared" si="23"/>
        <v>-</v>
      </c>
      <c r="H105" s="21" t="s">
        <v>466</v>
      </c>
      <c r="I105" s="22"/>
      <c r="J105" s="22" t="str">
        <f t="shared" si="21"/>
        <v>-</v>
      </c>
      <c r="K105" s="21" t="s">
        <v>467</v>
      </c>
      <c r="L105" s="22"/>
      <c r="M105" s="22" t="str">
        <f t="shared" si="22"/>
        <v>-</v>
      </c>
      <c r="N105" s="21" t="s">
        <v>468</v>
      </c>
      <c r="O105" s="22"/>
      <c r="P105" s="22" t="str">
        <f t="shared" si="25"/>
        <v>-</v>
      </c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"/>
      <c r="B106" s="23" t="s">
        <v>72</v>
      </c>
      <c r="C106" s="16">
        <f>SUM(D95:D105)</f>
        <v>0</v>
      </c>
      <c r="D106" s="18"/>
      <c r="E106" s="23" t="s">
        <v>72</v>
      </c>
      <c r="F106" s="16">
        <f>SUM(G91:G105)</f>
        <v>0</v>
      </c>
      <c r="G106" s="18"/>
      <c r="H106" s="21" t="s">
        <v>469</v>
      </c>
      <c r="I106" s="22"/>
      <c r="J106" s="22" t="str">
        <f t="shared" si="21"/>
        <v>-</v>
      </c>
      <c r="K106" s="21" t="s">
        <v>470</v>
      </c>
      <c r="L106" s="22"/>
      <c r="M106" s="22" t="str">
        <f t="shared" si="22"/>
        <v>-</v>
      </c>
      <c r="N106" s="21" t="s">
        <v>471</v>
      </c>
      <c r="O106" s="22"/>
      <c r="P106" s="22" t="str">
        <f t="shared" si="25"/>
        <v>-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2.5" customHeight="1">
      <c r="A107" s="1"/>
      <c r="B107" s="1"/>
      <c r="C107" s="13"/>
      <c r="D107" s="13"/>
      <c r="E107" s="24" t="s">
        <v>472</v>
      </c>
      <c r="F107" s="17"/>
      <c r="G107" s="18"/>
      <c r="H107" s="23" t="s">
        <v>72</v>
      </c>
      <c r="I107" s="16">
        <f>SUM(J85:J106)</f>
        <v>0</v>
      </c>
      <c r="J107" s="18"/>
      <c r="K107" s="21" t="s">
        <v>473</v>
      </c>
      <c r="L107" s="22"/>
      <c r="M107" s="22" t="str">
        <f t="shared" si="22"/>
        <v>-</v>
      </c>
      <c r="N107" s="21" t="s">
        <v>474</v>
      </c>
      <c r="O107" s="22"/>
      <c r="P107" s="22" t="str">
        <f t="shared" si="25"/>
        <v>-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3"/>
      <c r="D108" s="13"/>
      <c r="E108" s="21" t="s">
        <v>475</v>
      </c>
      <c r="F108" s="22"/>
      <c r="G108" s="22" t="str">
        <f t="shared" ref="G108:G121" si="26">IF(F108="Sim",1,IF(F108="Não",0,IF(F108="Às vezes",0.5,"-")))</f>
        <v>-</v>
      </c>
      <c r="H108" s="24" t="s">
        <v>476</v>
      </c>
      <c r="I108" s="17"/>
      <c r="J108" s="18"/>
      <c r="K108" s="21" t="s">
        <v>477</v>
      </c>
      <c r="L108" s="22"/>
      <c r="M108" s="22" t="str">
        <f t="shared" si="22"/>
        <v>-</v>
      </c>
      <c r="N108" s="21" t="s">
        <v>478</v>
      </c>
      <c r="O108" s="22"/>
      <c r="P108" s="22" t="str">
        <f t="shared" si="25"/>
        <v>-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3"/>
      <c r="D109" s="13"/>
      <c r="E109" s="21" t="s">
        <v>479</v>
      </c>
      <c r="F109" s="22"/>
      <c r="G109" s="22" t="str">
        <f t="shared" si="26"/>
        <v>-</v>
      </c>
      <c r="H109" s="21" t="s">
        <v>480</v>
      </c>
      <c r="I109" s="22"/>
      <c r="J109" s="22" t="str">
        <f t="shared" ref="J109:J130" si="27">IF(I109="Sim",1,IF(I109="Não",0,IF(I109="Às vezes",0.5,"-")))</f>
        <v>-</v>
      </c>
      <c r="K109" s="21" t="s">
        <v>481</v>
      </c>
      <c r="L109" s="22"/>
      <c r="M109" s="22" t="str">
        <f t="shared" si="22"/>
        <v>-</v>
      </c>
      <c r="N109" s="21" t="s">
        <v>482</v>
      </c>
      <c r="O109" s="22"/>
      <c r="P109" s="22" t="str">
        <f t="shared" si="25"/>
        <v>-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3"/>
      <c r="D110" s="13"/>
      <c r="E110" s="21" t="s">
        <v>483</v>
      </c>
      <c r="F110" s="22"/>
      <c r="G110" s="22" t="str">
        <f t="shared" si="26"/>
        <v>-</v>
      </c>
      <c r="H110" s="21" t="s">
        <v>484</v>
      </c>
      <c r="I110" s="22"/>
      <c r="J110" s="22" t="str">
        <f t="shared" si="27"/>
        <v>-</v>
      </c>
      <c r="K110" s="21" t="s">
        <v>485</v>
      </c>
      <c r="L110" s="22"/>
      <c r="M110" s="22" t="str">
        <f t="shared" si="22"/>
        <v>-</v>
      </c>
      <c r="N110" s="21" t="s">
        <v>486</v>
      </c>
      <c r="O110" s="22"/>
      <c r="P110" s="22" t="str">
        <f t="shared" si="25"/>
        <v>-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2.5" customHeight="1">
      <c r="A111" s="1"/>
      <c r="B111" s="1"/>
      <c r="C111" s="13"/>
      <c r="D111" s="13"/>
      <c r="E111" s="21" t="s">
        <v>487</v>
      </c>
      <c r="F111" s="22"/>
      <c r="G111" s="22" t="str">
        <f t="shared" si="26"/>
        <v>-</v>
      </c>
      <c r="H111" s="21" t="s">
        <v>488</v>
      </c>
      <c r="I111" s="22"/>
      <c r="J111" s="22" t="str">
        <f t="shared" si="27"/>
        <v>-</v>
      </c>
      <c r="K111" s="23" t="s">
        <v>72</v>
      </c>
      <c r="L111" s="16">
        <f>SUM(M88:M110)</f>
        <v>0</v>
      </c>
      <c r="M111" s="18"/>
      <c r="N111" s="21" t="s">
        <v>489</v>
      </c>
      <c r="O111" s="22"/>
      <c r="P111" s="22" t="str">
        <f t="shared" si="25"/>
        <v>-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3"/>
      <c r="D112" s="13"/>
      <c r="E112" s="21" t="s">
        <v>490</v>
      </c>
      <c r="F112" s="22"/>
      <c r="G112" s="22" t="str">
        <f t="shared" si="26"/>
        <v>-</v>
      </c>
      <c r="H112" s="21" t="s">
        <v>491</v>
      </c>
      <c r="I112" s="22"/>
      <c r="J112" s="22" t="str">
        <f t="shared" si="27"/>
        <v>-</v>
      </c>
      <c r="K112" s="24" t="s">
        <v>492</v>
      </c>
      <c r="L112" s="17"/>
      <c r="M112" s="18"/>
      <c r="N112" s="21" t="s">
        <v>493</v>
      </c>
      <c r="O112" s="22"/>
      <c r="P112" s="22" t="str">
        <f t="shared" si="25"/>
        <v>-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3"/>
      <c r="D113" s="13"/>
      <c r="E113" s="21" t="s">
        <v>494</v>
      </c>
      <c r="F113" s="22"/>
      <c r="G113" s="22" t="str">
        <f t="shared" si="26"/>
        <v>-</v>
      </c>
      <c r="H113" s="21" t="s">
        <v>495</v>
      </c>
      <c r="I113" s="22"/>
      <c r="J113" s="22" t="str">
        <f t="shared" si="27"/>
        <v>-</v>
      </c>
      <c r="K113" s="21" t="s">
        <v>496</v>
      </c>
      <c r="L113" s="22"/>
      <c r="M113" s="22" t="str">
        <f t="shared" ref="M113:M127" si="28">IF(L113="Sim",1,IF(L113="Não",0,IF(L113="Às vezes",0.5,"-")))</f>
        <v>-</v>
      </c>
      <c r="N113" s="21" t="s">
        <v>497</v>
      </c>
      <c r="O113" s="22"/>
      <c r="P113" s="22" t="str">
        <f t="shared" si="25"/>
        <v>-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3"/>
      <c r="D114" s="13"/>
      <c r="E114" s="21" t="s">
        <v>498</v>
      </c>
      <c r="F114" s="22"/>
      <c r="G114" s="22" t="str">
        <f t="shared" si="26"/>
        <v>-</v>
      </c>
      <c r="H114" s="21" t="s">
        <v>499</v>
      </c>
      <c r="I114" s="22"/>
      <c r="J114" s="22" t="str">
        <f t="shared" si="27"/>
        <v>-</v>
      </c>
      <c r="K114" s="21" t="s">
        <v>500</v>
      </c>
      <c r="L114" s="22"/>
      <c r="M114" s="22" t="str">
        <f t="shared" si="28"/>
        <v>-</v>
      </c>
      <c r="N114" s="23" t="s">
        <v>72</v>
      </c>
      <c r="O114" s="16">
        <f>SUM(P99:P113)</f>
        <v>0</v>
      </c>
      <c r="P114" s="18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3"/>
      <c r="D115" s="13"/>
      <c r="E115" s="21" t="s">
        <v>501</v>
      </c>
      <c r="F115" s="22"/>
      <c r="G115" s="22" t="str">
        <f t="shared" si="26"/>
        <v>-</v>
      </c>
      <c r="H115" s="21" t="s">
        <v>502</v>
      </c>
      <c r="I115" s="22"/>
      <c r="J115" s="22" t="str">
        <f t="shared" si="27"/>
        <v>-</v>
      </c>
      <c r="K115" s="21" t="s">
        <v>503</v>
      </c>
      <c r="L115" s="22"/>
      <c r="M115" s="22" t="str">
        <f t="shared" si="28"/>
        <v>-</v>
      </c>
      <c r="N115" s="24" t="s">
        <v>504</v>
      </c>
      <c r="O115" s="17"/>
      <c r="P115" s="18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3"/>
      <c r="D116" s="13"/>
      <c r="E116" s="21" t="s">
        <v>505</v>
      </c>
      <c r="F116" s="22"/>
      <c r="G116" s="22" t="str">
        <f t="shared" si="26"/>
        <v>-</v>
      </c>
      <c r="H116" s="21" t="s">
        <v>506</v>
      </c>
      <c r="I116" s="22"/>
      <c r="J116" s="22" t="str">
        <f t="shared" si="27"/>
        <v>-</v>
      </c>
      <c r="K116" s="21" t="s">
        <v>507</v>
      </c>
      <c r="L116" s="22"/>
      <c r="M116" s="22" t="str">
        <f t="shared" si="28"/>
        <v>-</v>
      </c>
      <c r="N116" s="21" t="s">
        <v>508</v>
      </c>
      <c r="O116" s="22"/>
      <c r="P116" s="22" t="str">
        <f t="shared" ref="P116:P131" si="29">IF(O116="Sim",1,IF(O116="Não",0,IF(O116="Às vezes",0.5,"-")))</f>
        <v>-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3"/>
      <c r="D117" s="13"/>
      <c r="E117" s="21" t="s">
        <v>509</v>
      </c>
      <c r="F117" s="22"/>
      <c r="G117" s="22" t="str">
        <f t="shared" si="26"/>
        <v>-</v>
      </c>
      <c r="H117" s="21" t="s">
        <v>510</v>
      </c>
      <c r="I117" s="22"/>
      <c r="J117" s="22" t="str">
        <f t="shared" si="27"/>
        <v>-</v>
      </c>
      <c r="K117" s="21" t="s">
        <v>511</v>
      </c>
      <c r="L117" s="22"/>
      <c r="M117" s="22" t="str">
        <f t="shared" si="28"/>
        <v>-</v>
      </c>
      <c r="N117" s="21" t="s">
        <v>512</v>
      </c>
      <c r="O117" s="22"/>
      <c r="P117" s="22" t="str">
        <f t="shared" si="29"/>
        <v>-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3"/>
      <c r="D118" s="13"/>
      <c r="E118" s="21" t="s">
        <v>513</v>
      </c>
      <c r="F118" s="22"/>
      <c r="G118" s="22" t="str">
        <f t="shared" si="26"/>
        <v>-</v>
      </c>
      <c r="H118" s="21" t="s">
        <v>514</v>
      </c>
      <c r="I118" s="22"/>
      <c r="J118" s="22" t="str">
        <f t="shared" si="27"/>
        <v>-</v>
      </c>
      <c r="K118" s="21" t="s">
        <v>515</v>
      </c>
      <c r="L118" s="22"/>
      <c r="M118" s="22" t="str">
        <f t="shared" si="28"/>
        <v>-</v>
      </c>
      <c r="N118" s="21" t="s">
        <v>516</v>
      </c>
      <c r="O118" s="22"/>
      <c r="P118" s="22" t="str">
        <f t="shared" si="29"/>
        <v>-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3"/>
      <c r="D119" s="13"/>
      <c r="E119" s="21" t="s">
        <v>517</v>
      </c>
      <c r="F119" s="22"/>
      <c r="G119" s="22" t="str">
        <f t="shared" si="26"/>
        <v>-</v>
      </c>
      <c r="H119" s="21" t="s">
        <v>518</v>
      </c>
      <c r="I119" s="22"/>
      <c r="J119" s="22" t="str">
        <f t="shared" si="27"/>
        <v>-</v>
      </c>
      <c r="K119" s="21" t="s">
        <v>519</v>
      </c>
      <c r="L119" s="22"/>
      <c r="M119" s="22" t="str">
        <f t="shared" si="28"/>
        <v>-</v>
      </c>
      <c r="N119" s="21" t="s">
        <v>520</v>
      </c>
      <c r="O119" s="22"/>
      <c r="P119" s="22" t="str">
        <f t="shared" si="29"/>
        <v>-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3"/>
      <c r="D120" s="13"/>
      <c r="E120" s="21" t="s">
        <v>521</v>
      </c>
      <c r="F120" s="22"/>
      <c r="G120" s="22" t="str">
        <f t="shared" si="26"/>
        <v>-</v>
      </c>
      <c r="H120" s="21" t="s">
        <v>522</v>
      </c>
      <c r="I120" s="22"/>
      <c r="J120" s="22" t="str">
        <f t="shared" si="27"/>
        <v>-</v>
      </c>
      <c r="K120" s="21" t="s">
        <v>523</v>
      </c>
      <c r="L120" s="22"/>
      <c r="M120" s="22" t="str">
        <f t="shared" si="28"/>
        <v>-</v>
      </c>
      <c r="N120" s="21" t="s">
        <v>524</v>
      </c>
      <c r="O120" s="22"/>
      <c r="P120" s="22" t="str">
        <f t="shared" si="29"/>
        <v>-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30.75" customHeight="1">
      <c r="A121" s="1"/>
      <c r="B121" s="1"/>
      <c r="C121" s="13"/>
      <c r="D121" s="13"/>
      <c r="E121" s="21" t="s">
        <v>525</v>
      </c>
      <c r="F121" s="22"/>
      <c r="G121" s="22" t="str">
        <f t="shared" si="26"/>
        <v>-</v>
      </c>
      <c r="H121" s="21" t="s">
        <v>526</v>
      </c>
      <c r="I121" s="22"/>
      <c r="J121" s="22" t="str">
        <f t="shared" si="27"/>
        <v>-</v>
      </c>
      <c r="K121" s="21" t="s">
        <v>527</v>
      </c>
      <c r="L121" s="22"/>
      <c r="M121" s="22" t="str">
        <f t="shared" si="28"/>
        <v>-</v>
      </c>
      <c r="N121" s="21" t="s">
        <v>528</v>
      </c>
      <c r="O121" s="22"/>
      <c r="P121" s="22" t="str">
        <f t="shared" si="29"/>
        <v>-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8.5" customHeight="1">
      <c r="A122" s="1"/>
      <c r="B122" s="1"/>
      <c r="C122" s="13"/>
      <c r="D122" s="13"/>
      <c r="E122" s="23" t="s">
        <v>72</v>
      </c>
      <c r="F122" s="16">
        <f>SUM(G108:G121)</f>
        <v>0</v>
      </c>
      <c r="G122" s="18"/>
      <c r="H122" s="21" t="s">
        <v>529</v>
      </c>
      <c r="I122" s="22"/>
      <c r="J122" s="22" t="str">
        <f t="shared" si="27"/>
        <v>-</v>
      </c>
      <c r="K122" s="21" t="s">
        <v>530</v>
      </c>
      <c r="L122" s="22"/>
      <c r="M122" s="22" t="str">
        <f t="shared" si="28"/>
        <v>-</v>
      </c>
      <c r="N122" s="21" t="s">
        <v>531</v>
      </c>
      <c r="O122" s="22"/>
      <c r="P122" s="22" t="str">
        <f t="shared" si="29"/>
        <v>-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8.5" customHeight="1">
      <c r="A123" s="1"/>
      <c r="B123" s="1"/>
      <c r="C123" s="13"/>
      <c r="D123" s="13"/>
      <c r="E123" s="1"/>
      <c r="F123" s="13"/>
      <c r="G123" s="1"/>
      <c r="H123" s="21" t="s">
        <v>532</v>
      </c>
      <c r="I123" s="22"/>
      <c r="J123" s="22" t="str">
        <f t="shared" si="27"/>
        <v>-</v>
      </c>
      <c r="K123" s="21" t="s">
        <v>533</v>
      </c>
      <c r="L123" s="22"/>
      <c r="M123" s="22" t="str">
        <f t="shared" si="28"/>
        <v>-</v>
      </c>
      <c r="N123" s="21" t="s">
        <v>534</v>
      </c>
      <c r="O123" s="22"/>
      <c r="P123" s="22" t="str">
        <f t="shared" si="29"/>
        <v>-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3"/>
      <c r="D124" s="13"/>
      <c r="E124" s="1"/>
      <c r="F124" s="13"/>
      <c r="G124" s="1"/>
      <c r="H124" s="21" t="s">
        <v>535</v>
      </c>
      <c r="I124" s="22"/>
      <c r="J124" s="22" t="str">
        <f t="shared" si="27"/>
        <v>-</v>
      </c>
      <c r="K124" s="21" t="s">
        <v>536</v>
      </c>
      <c r="L124" s="22"/>
      <c r="M124" s="22" t="str">
        <f t="shared" si="28"/>
        <v>-</v>
      </c>
      <c r="N124" s="21" t="s">
        <v>537</v>
      </c>
      <c r="O124" s="22"/>
      <c r="P124" s="22" t="str">
        <f t="shared" si="29"/>
        <v>-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3"/>
      <c r="D125" s="13"/>
      <c r="E125" s="1"/>
      <c r="F125" s="13"/>
      <c r="G125" s="1"/>
      <c r="H125" s="21" t="s">
        <v>538</v>
      </c>
      <c r="I125" s="22"/>
      <c r="J125" s="22" t="str">
        <f t="shared" si="27"/>
        <v>-</v>
      </c>
      <c r="K125" s="21" t="s">
        <v>539</v>
      </c>
      <c r="L125" s="22"/>
      <c r="M125" s="22" t="str">
        <f t="shared" si="28"/>
        <v>-</v>
      </c>
      <c r="N125" s="21" t="s">
        <v>540</v>
      </c>
      <c r="O125" s="22"/>
      <c r="P125" s="22" t="str">
        <f t="shared" si="29"/>
        <v>-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3"/>
      <c r="D126" s="13"/>
      <c r="E126" s="1"/>
      <c r="F126" s="13"/>
      <c r="G126" s="1"/>
      <c r="H126" s="21" t="s">
        <v>541</v>
      </c>
      <c r="I126" s="22"/>
      <c r="J126" s="22" t="str">
        <f t="shared" si="27"/>
        <v>-</v>
      </c>
      <c r="K126" s="21" t="s">
        <v>542</v>
      </c>
      <c r="L126" s="22"/>
      <c r="M126" s="22" t="str">
        <f t="shared" si="28"/>
        <v>-</v>
      </c>
      <c r="N126" s="21" t="s">
        <v>543</v>
      </c>
      <c r="O126" s="22"/>
      <c r="P126" s="22" t="str">
        <f t="shared" si="29"/>
        <v>-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3"/>
      <c r="D127" s="13"/>
      <c r="E127" s="1"/>
      <c r="F127" s="13"/>
      <c r="G127" s="1"/>
      <c r="H127" s="21" t="s">
        <v>544</v>
      </c>
      <c r="I127" s="22"/>
      <c r="J127" s="22" t="str">
        <f t="shared" si="27"/>
        <v>-</v>
      </c>
      <c r="K127" s="21" t="s">
        <v>545</v>
      </c>
      <c r="L127" s="22"/>
      <c r="M127" s="22" t="str">
        <f t="shared" si="28"/>
        <v>-</v>
      </c>
      <c r="N127" s="21" t="s">
        <v>546</v>
      </c>
      <c r="O127" s="22"/>
      <c r="P127" s="22" t="str">
        <f t="shared" si="29"/>
        <v>-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3"/>
      <c r="D128" s="13"/>
      <c r="E128" s="1"/>
      <c r="F128" s="13"/>
      <c r="G128" s="1"/>
      <c r="H128" s="21" t="s">
        <v>547</v>
      </c>
      <c r="I128" s="22"/>
      <c r="J128" s="22" t="str">
        <f t="shared" si="27"/>
        <v>-</v>
      </c>
      <c r="K128" s="23" t="s">
        <v>72</v>
      </c>
      <c r="L128" s="16">
        <f>SUM(M113:M127)</f>
        <v>0</v>
      </c>
      <c r="M128" s="18"/>
      <c r="N128" s="21" t="s">
        <v>548</v>
      </c>
      <c r="O128" s="22"/>
      <c r="P128" s="22" t="str">
        <f t="shared" si="29"/>
        <v>-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3"/>
      <c r="D129" s="13"/>
      <c r="E129" s="1"/>
      <c r="F129" s="13"/>
      <c r="G129" s="1"/>
      <c r="H129" s="21" t="s">
        <v>549</v>
      </c>
      <c r="I129" s="22"/>
      <c r="J129" s="22" t="str">
        <f t="shared" si="27"/>
        <v>-</v>
      </c>
      <c r="K129" s="1"/>
      <c r="L129" s="1"/>
      <c r="M129" s="1"/>
      <c r="N129" s="21" t="s">
        <v>550</v>
      </c>
      <c r="O129" s="22"/>
      <c r="P129" s="22" t="str">
        <f t="shared" si="29"/>
        <v>-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3"/>
      <c r="D130" s="13"/>
      <c r="E130" s="1"/>
      <c r="F130" s="13"/>
      <c r="G130" s="1"/>
      <c r="H130" s="21" t="s">
        <v>551</v>
      </c>
      <c r="I130" s="22"/>
      <c r="J130" s="22" t="str">
        <f t="shared" si="27"/>
        <v>-</v>
      </c>
      <c r="K130" s="1"/>
      <c r="L130" s="1"/>
      <c r="M130" s="1"/>
      <c r="N130" s="21" t="s">
        <v>552</v>
      </c>
      <c r="O130" s="22"/>
      <c r="P130" s="22" t="str">
        <f t="shared" si="29"/>
        <v>-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75" customHeight="1">
      <c r="A131" s="1"/>
      <c r="B131" s="1"/>
      <c r="C131" s="13"/>
      <c r="D131" s="13"/>
      <c r="E131" s="1"/>
      <c r="F131" s="13"/>
      <c r="G131" s="1"/>
      <c r="H131" s="23" t="s">
        <v>72</v>
      </c>
      <c r="I131" s="16">
        <f>SUM(J109:J130)</f>
        <v>0</v>
      </c>
      <c r="J131" s="18"/>
      <c r="K131" s="1"/>
      <c r="L131" s="1"/>
      <c r="M131" s="1"/>
      <c r="N131" s="21" t="s">
        <v>553</v>
      </c>
      <c r="O131" s="22"/>
      <c r="P131" s="22" t="str">
        <f t="shared" si="29"/>
        <v>-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3.25" customHeight="1">
      <c r="A132" s="1"/>
      <c r="B132" s="1"/>
      <c r="C132" s="13"/>
      <c r="D132" s="13"/>
      <c r="E132" s="1"/>
      <c r="F132" s="13"/>
      <c r="G132" s="1"/>
      <c r="H132" s="1"/>
      <c r="I132" s="1"/>
      <c r="J132" s="1"/>
      <c r="K132" s="1"/>
      <c r="L132" s="1"/>
      <c r="M132" s="1"/>
      <c r="N132" s="23" t="s">
        <v>72</v>
      </c>
      <c r="O132" s="16">
        <f>SUM(P116:P131)</f>
        <v>0</v>
      </c>
      <c r="P132" s="18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3.25" customHeight="1">
      <c r="A133" s="1"/>
      <c r="B133" s="1"/>
      <c r="C133" s="13"/>
      <c r="D133" s="13"/>
      <c r="E133" s="1"/>
      <c r="F133" s="13"/>
      <c r="G133" s="1"/>
      <c r="H133" s="1"/>
      <c r="I133" s="1"/>
      <c r="J133" s="1"/>
      <c r="K133" s="1"/>
      <c r="L133" s="1"/>
      <c r="M133" s="1"/>
      <c r="N133" s="24" t="s">
        <v>554</v>
      </c>
      <c r="O133" s="17"/>
      <c r="P133" s="18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31.5" customHeight="1">
      <c r="A134" s="1"/>
      <c r="B134" s="1"/>
      <c r="C134" s="13"/>
      <c r="D134" s="13"/>
      <c r="E134" s="1"/>
      <c r="F134" s="13"/>
      <c r="G134" s="1"/>
      <c r="H134" s="1"/>
      <c r="I134" s="1"/>
      <c r="J134" s="1"/>
      <c r="K134" s="1"/>
      <c r="L134" s="1"/>
      <c r="M134" s="1"/>
      <c r="N134" s="21" t="s">
        <v>555</v>
      </c>
      <c r="O134" s="22"/>
      <c r="P134" s="22" t="str">
        <f t="shared" ref="P134:P162" si="30">IF(O134="Sim",1,IF(O134="Não",0,IF(O134="Às vezes",0.5,"-")))</f>
        <v>-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3"/>
      <c r="D135" s="13"/>
      <c r="E135" s="1"/>
      <c r="F135" s="13"/>
      <c r="G135" s="1"/>
      <c r="H135" s="1"/>
      <c r="I135" s="1"/>
      <c r="J135" s="1"/>
      <c r="K135" s="1"/>
      <c r="L135" s="1"/>
      <c r="M135" s="1"/>
      <c r="N135" s="21" t="s">
        <v>556</v>
      </c>
      <c r="O135" s="22"/>
      <c r="P135" s="22" t="str">
        <f t="shared" si="30"/>
        <v>-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3"/>
      <c r="D136" s="13"/>
      <c r="E136" s="1"/>
      <c r="F136" s="13"/>
      <c r="G136" s="1"/>
      <c r="H136" s="1"/>
      <c r="I136" s="1"/>
      <c r="J136" s="1"/>
      <c r="K136" s="1"/>
      <c r="L136" s="1"/>
      <c r="M136" s="1"/>
      <c r="N136" s="21" t="s">
        <v>557</v>
      </c>
      <c r="O136" s="22"/>
      <c r="P136" s="22" t="str">
        <f t="shared" si="30"/>
        <v>-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3"/>
      <c r="D137" s="13"/>
      <c r="E137" s="1"/>
      <c r="F137" s="13"/>
      <c r="G137" s="1"/>
      <c r="H137" s="1"/>
      <c r="I137" s="1"/>
      <c r="J137" s="1"/>
      <c r="K137" s="1"/>
      <c r="L137" s="1"/>
      <c r="M137" s="1"/>
      <c r="N137" s="21" t="s">
        <v>558</v>
      </c>
      <c r="O137" s="22"/>
      <c r="P137" s="22" t="str">
        <f t="shared" si="30"/>
        <v>-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3"/>
      <c r="D138" s="13"/>
      <c r="E138" s="1"/>
      <c r="F138" s="13"/>
      <c r="G138" s="1"/>
      <c r="H138" s="1"/>
      <c r="I138" s="1"/>
      <c r="J138" s="1"/>
      <c r="K138" s="1"/>
      <c r="L138" s="1"/>
      <c r="M138" s="1"/>
      <c r="N138" s="21" t="s">
        <v>559</v>
      </c>
      <c r="O138" s="22"/>
      <c r="P138" s="22" t="str">
        <f t="shared" si="30"/>
        <v>-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3"/>
      <c r="D139" s="13"/>
      <c r="E139" s="1"/>
      <c r="F139" s="13"/>
      <c r="G139" s="1"/>
      <c r="H139" s="1"/>
      <c r="I139" s="1"/>
      <c r="J139" s="1"/>
      <c r="K139" s="1"/>
      <c r="L139" s="1"/>
      <c r="M139" s="1"/>
      <c r="N139" s="21" t="s">
        <v>560</v>
      </c>
      <c r="O139" s="22"/>
      <c r="P139" s="22" t="str">
        <f t="shared" si="30"/>
        <v>-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3"/>
      <c r="D140" s="13"/>
      <c r="E140" s="1"/>
      <c r="F140" s="13"/>
      <c r="G140" s="1"/>
      <c r="H140" s="1"/>
      <c r="I140" s="1"/>
      <c r="J140" s="1"/>
      <c r="K140" s="1"/>
      <c r="L140" s="1"/>
      <c r="M140" s="1"/>
      <c r="N140" s="21" t="s">
        <v>561</v>
      </c>
      <c r="O140" s="22"/>
      <c r="P140" s="22" t="str">
        <f t="shared" si="30"/>
        <v>-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3"/>
      <c r="D141" s="13"/>
      <c r="E141" s="1"/>
      <c r="F141" s="13"/>
      <c r="G141" s="1"/>
      <c r="H141" s="1"/>
      <c r="I141" s="1"/>
      <c r="J141" s="1"/>
      <c r="K141" s="1"/>
      <c r="L141" s="1"/>
      <c r="M141" s="1"/>
      <c r="N141" s="21" t="s">
        <v>562</v>
      </c>
      <c r="O141" s="22"/>
      <c r="P141" s="22" t="str">
        <f t="shared" si="30"/>
        <v>-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3"/>
      <c r="D142" s="13"/>
      <c r="E142" s="1"/>
      <c r="F142" s="13"/>
      <c r="G142" s="1"/>
      <c r="H142" s="1"/>
      <c r="I142" s="1"/>
      <c r="J142" s="1"/>
      <c r="K142" s="1"/>
      <c r="L142" s="1"/>
      <c r="M142" s="1"/>
      <c r="N142" s="21" t="s">
        <v>563</v>
      </c>
      <c r="O142" s="22"/>
      <c r="P142" s="22" t="str">
        <f t="shared" si="30"/>
        <v>-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3"/>
      <c r="D143" s="13"/>
      <c r="E143" s="1"/>
      <c r="F143" s="13"/>
      <c r="G143" s="1"/>
      <c r="H143" s="1"/>
      <c r="I143" s="1"/>
      <c r="J143" s="1"/>
      <c r="K143" s="1"/>
      <c r="L143" s="1"/>
      <c r="M143" s="1"/>
      <c r="N143" s="21" t="s">
        <v>564</v>
      </c>
      <c r="O143" s="22"/>
      <c r="P143" s="22" t="str">
        <f t="shared" si="30"/>
        <v>-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3"/>
      <c r="D144" s="13"/>
      <c r="E144" s="1"/>
      <c r="F144" s="13"/>
      <c r="G144" s="1"/>
      <c r="H144" s="1"/>
      <c r="I144" s="1"/>
      <c r="J144" s="1"/>
      <c r="K144" s="1"/>
      <c r="L144" s="1"/>
      <c r="M144" s="1"/>
      <c r="N144" s="21" t="s">
        <v>565</v>
      </c>
      <c r="O144" s="22"/>
      <c r="P144" s="22" t="str">
        <f t="shared" si="30"/>
        <v>-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3"/>
      <c r="D145" s="13"/>
      <c r="E145" s="1"/>
      <c r="F145" s="13"/>
      <c r="G145" s="1"/>
      <c r="H145" s="1"/>
      <c r="I145" s="1"/>
      <c r="J145" s="1"/>
      <c r="K145" s="1"/>
      <c r="L145" s="1"/>
      <c r="M145" s="1"/>
      <c r="N145" s="21" t="s">
        <v>566</v>
      </c>
      <c r="O145" s="22"/>
      <c r="P145" s="22" t="str">
        <f t="shared" si="30"/>
        <v>-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3"/>
      <c r="D146" s="13"/>
      <c r="E146" s="1"/>
      <c r="F146" s="13"/>
      <c r="G146" s="1"/>
      <c r="H146" s="1"/>
      <c r="I146" s="1"/>
      <c r="J146" s="1"/>
      <c r="K146" s="1"/>
      <c r="L146" s="1"/>
      <c r="M146" s="1"/>
      <c r="N146" s="21" t="s">
        <v>567</v>
      </c>
      <c r="O146" s="22"/>
      <c r="P146" s="22" t="str">
        <f t="shared" si="30"/>
        <v>-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3"/>
      <c r="D147" s="13"/>
      <c r="E147" s="1"/>
      <c r="F147" s="13"/>
      <c r="G147" s="1"/>
      <c r="H147" s="1"/>
      <c r="I147" s="1"/>
      <c r="J147" s="1"/>
      <c r="K147" s="1"/>
      <c r="L147" s="1"/>
      <c r="M147" s="1"/>
      <c r="N147" s="21" t="s">
        <v>568</v>
      </c>
      <c r="O147" s="22"/>
      <c r="P147" s="22" t="str">
        <f t="shared" si="30"/>
        <v>-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3"/>
      <c r="D148" s="13"/>
      <c r="E148" s="1"/>
      <c r="F148" s="13"/>
      <c r="G148" s="1"/>
      <c r="H148" s="1"/>
      <c r="I148" s="1"/>
      <c r="J148" s="1"/>
      <c r="K148" s="1"/>
      <c r="L148" s="1"/>
      <c r="M148" s="1"/>
      <c r="N148" s="21" t="s">
        <v>569</v>
      </c>
      <c r="O148" s="22"/>
      <c r="P148" s="22" t="str">
        <f t="shared" si="30"/>
        <v>-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3"/>
      <c r="D149" s="13"/>
      <c r="E149" s="1"/>
      <c r="F149" s="13"/>
      <c r="G149" s="1"/>
      <c r="H149" s="1"/>
      <c r="I149" s="1"/>
      <c r="J149" s="1"/>
      <c r="K149" s="1"/>
      <c r="L149" s="1"/>
      <c r="M149" s="1"/>
      <c r="N149" s="21" t="s">
        <v>570</v>
      </c>
      <c r="O149" s="22"/>
      <c r="P149" s="22" t="str">
        <f t="shared" si="30"/>
        <v>-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3"/>
      <c r="D150" s="13"/>
      <c r="E150" s="1"/>
      <c r="F150" s="13"/>
      <c r="G150" s="1"/>
      <c r="H150" s="1"/>
      <c r="I150" s="1"/>
      <c r="J150" s="1"/>
      <c r="K150" s="1"/>
      <c r="L150" s="1"/>
      <c r="M150" s="1"/>
      <c r="N150" s="21" t="s">
        <v>571</v>
      </c>
      <c r="O150" s="22"/>
      <c r="P150" s="22" t="str">
        <f t="shared" si="30"/>
        <v>-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3"/>
      <c r="D151" s="13"/>
      <c r="E151" s="1"/>
      <c r="F151" s="13"/>
      <c r="G151" s="1"/>
      <c r="H151" s="1"/>
      <c r="I151" s="1"/>
      <c r="J151" s="1"/>
      <c r="K151" s="1"/>
      <c r="L151" s="1"/>
      <c r="M151" s="1"/>
      <c r="N151" s="21" t="s">
        <v>572</v>
      </c>
      <c r="O151" s="22"/>
      <c r="P151" s="22" t="str">
        <f t="shared" si="30"/>
        <v>-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3"/>
      <c r="D152" s="13"/>
      <c r="E152" s="1"/>
      <c r="F152" s="13"/>
      <c r="G152" s="1"/>
      <c r="H152" s="1"/>
      <c r="I152" s="1"/>
      <c r="J152" s="1"/>
      <c r="K152" s="1"/>
      <c r="L152" s="1"/>
      <c r="M152" s="1"/>
      <c r="N152" s="21" t="s">
        <v>573</v>
      </c>
      <c r="O152" s="22"/>
      <c r="P152" s="22" t="str">
        <f t="shared" si="30"/>
        <v>-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3"/>
      <c r="D153" s="13"/>
      <c r="E153" s="1"/>
      <c r="F153" s="13"/>
      <c r="G153" s="1"/>
      <c r="H153" s="1"/>
      <c r="I153" s="1"/>
      <c r="J153" s="1"/>
      <c r="K153" s="1"/>
      <c r="L153" s="1"/>
      <c r="M153" s="1"/>
      <c r="N153" s="21" t="s">
        <v>574</v>
      </c>
      <c r="O153" s="22"/>
      <c r="P153" s="22" t="str">
        <f t="shared" si="30"/>
        <v>-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3"/>
      <c r="D154" s="13"/>
      <c r="E154" s="1"/>
      <c r="F154" s="13"/>
      <c r="G154" s="1"/>
      <c r="H154" s="1"/>
      <c r="I154" s="1"/>
      <c r="J154" s="1"/>
      <c r="K154" s="1"/>
      <c r="L154" s="1"/>
      <c r="M154" s="1"/>
      <c r="N154" s="21" t="s">
        <v>575</v>
      </c>
      <c r="O154" s="22"/>
      <c r="P154" s="22" t="str">
        <f t="shared" si="30"/>
        <v>-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3"/>
      <c r="D155" s="13"/>
      <c r="E155" s="1"/>
      <c r="F155" s="13"/>
      <c r="G155" s="1"/>
      <c r="H155" s="1"/>
      <c r="I155" s="1"/>
      <c r="J155" s="1"/>
      <c r="K155" s="1"/>
      <c r="L155" s="1"/>
      <c r="M155" s="1"/>
      <c r="N155" s="21" t="s">
        <v>576</v>
      </c>
      <c r="O155" s="22"/>
      <c r="P155" s="22" t="str">
        <f t="shared" si="30"/>
        <v>-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3"/>
      <c r="D156" s="13"/>
      <c r="E156" s="1"/>
      <c r="F156" s="13"/>
      <c r="G156" s="1"/>
      <c r="H156" s="1"/>
      <c r="I156" s="1"/>
      <c r="J156" s="1"/>
      <c r="K156" s="1"/>
      <c r="L156" s="1"/>
      <c r="M156" s="1"/>
      <c r="N156" s="21" t="s">
        <v>577</v>
      </c>
      <c r="O156" s="22"/>
      <c r="P156" s="22" t="str">
        <f t="shared" si="30"/>
        <v>-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3"/>
      <c r="D157" s="13"/>
      <c r="E157" s="1"/>
      <c r="F157" s="13"/>
      <c r="G157" s="1"/>
      <c r="H157" s="1"/>
      <c r="I157" s="1"/>
      <c r="J157" s="1"/>
      <c r="K157" s="1"/>
      <c r="L157" s="1"/>
      <c r="M157" s="1"/>
      <c r="N157" s="21" t="s">
        <v>578</v>
      </c>
      <c r="O157" s="22"/>
      <c r="P157" s="22" t="str">
        <f t="shared" si="30"/>
        <v>-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3"/>
      <c r="D158" s="13"/>
      <c r="E158" s="1"/>
      <c r="F158" s="13"/>
      <c r="G158" s="1"/>
      <c r="H158" s="1"/>
      <c r="I158" s="1"/>
      <c r="J158" s="1"/>
      <c r="K158" s="1"/>
      <c r="L158" s="1"/>
      <c r="M158" s="1"/>
      <c r="N158" s="21" t="s">
        <v>579</v>
      </c>
      <c r="O158" s="22"/>
      <c r="P158" s="22" t="str">
        <f t="shared" si="30"/>
        <v>-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3"/>
      <c r="D159" s="13"/>
      <c r="E159" s="1"/>
      <c r="F159" s="13"/>
      <c r="G159" s="1"/>
      <c r="H159" s="1"/>
      <c r="I159" s="1"/>
      <c r="J159" s="1"/>
      <c r="K159" s="1"/>
      <c r="L159" s="1"/>
      <c r="M159" s="1"/>
      <c r="N159" s="21" t="s">
        <v>580</v>
      </c>
      <c r="O159" s="22"/>
      <c r="P159" s="22" t="str">
        <f t="shared" si="30"/>
        <v>-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3"/>
      <c r="D160" s="13"/>
      <c r="E160" s="1"/>
      <c r="F160" s="13"/>
      <c r="G160" s="1"/>
      <c r="H160" s="1"/>
      <c r="I160" s="1"/>
      <c r="J160" s="1"/>
      <c r="K160" s="1"/>
      <c r="L160" s="1"/>
      <c r="M160" s="1"/>
      <c r="N160" s="21" t="s">
        <v>581</v>
      </c>
      <c r="O160" s="22"/>
      <c r="P160" s="22" t="str">
        <f t="shared" si="30"/>
        <v>-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3"/>
      <c r="D161" s="13"/>
      <c r="E161" s="1"/>
      <c r="F161" s="13"/>
      <c r="G161" s="1"/>
      <c r="H161" s="1"/>
      <c r="I161" s="1"/>
      <c r="J161" s="1"/>
      <c r="K161" s="1"/>
      <c r="L161" s="1"/>
      <c r="M161" s="1"/>
      <c r="N161" s="21" t="s">
        <v>582</v>
      </c>
      <c r="O161" s="22"/>
      <c r="P161" s="22" t="str">
        <f t="shared" si="30"/>
        <v>-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36.75" customHeight="1">
      <c r="A162" s="1"/>
      <c r="B162" s="1"/>
      <c r="C162" s="13"/>
      <c r="D162" s="13"/>
      <c r="E162" s="1"/>
      <c r="F162" s="13"/>
      <c r="G162" s="1"/>
      <c r="H162" s="1"/>
      <c r="I162" s="1"/>
      <c r="J162" s="1"/>
      <c r="K162" s="1"/>
      <c r="L162" s="1"/>
      <c r="M162" s="1"/>
      <c r="N162" s="21" t="s">
        <v>583</v>
      </c>
      <c r="O162" s="22"/>
      <c r="P162" s="22" t="str">
        <f t="shared" si="30"/>
        <v>-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5.5" customHeight="1">
      <c r="A163" s="1"/>
      <c r="B163" s="1"/>
      <c r="C163" s="13"/>
      <c r="D163" s="13"/>
      <c r="E163" s="1"/>
      <c r="F163" s="13"/>
      <c r="G163" s="1"/>
      <c r="H163" s="1"/>
      <c r="I163" s="1"/>
      <c r="J163" s="1"/>
      <c r="K163" s="1"/>
      <c r="L163" s="1"/>
      <c r="M163" s="1"/>
      <c r="N163" s="23" t="s">
        <v>72</v>
      </c>
      <c r="O163" s="16">
        <f>SUM(P134:P162)</f>
        <v>0</v>
      </c>
      <c r="P163" s="18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3"/>
      <c r="D164" s="13"/>
      <c r="E164" s="1"/>
      <c r="F164" s="1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3"/>
      <c r="D165" s="13"/>
      <c r="E165" s="1"/>
      <c r="F165" s="1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3"/>
      <c r="D166" s="13"/>
      <c r="E166" s="1"/>
      <c r="F166" s="1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3"/>
      <c r="D167" s="13"/>
      <c r="E167" s="1"/>
      <c r="F167" s="1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3"/>
      <c r="D168" s="13"/>
      <c r="E168" s="1"/>
      <c r="F168" s="1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3"/>
      <c r="D169" s="13"/>
      <c r="E169" s="1"/>
      <c r="F169" s="1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3"/>
      <c r="D170" s="13"/>
      <c r="E170" s="1"/>
      <c r="F170" s="1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3"/>
      <c r="D171" s="13"/>
      <c r="E171" s="1"/>
      <c r="F171" s="1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3"/>
      <c r="D172" s="13"/>
      <c r="E172" s="1"/>
      <c r="F172" s="1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3"/>
      <c r="D173" s="13"/>
      <c r="E173" s="1"/>
      <c r="F173" s="1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3"/>
      <c r="D174" s="13"/>
      <c r="E174" s="1"/>
      <c r="F174" s="1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3"/>
      <c r="D175" s="13"/>
      <c r="E175" s="1"/>
      <c r="F175" s="1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3"/>
      <c r="D176" s="13"/>
      <c r="E176" s="1"/>
      <c r="F176" s="1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3"/>
      <c r="D177" s="13"/>
      <c r="E177" s="1"/>
      <c r="F177" s="1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3"/>
      <c r="D178" s="13"/>
      <c r="E178" s="1"/>
      <c r="F178" s="1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3"/>
      <c r="D179" s="13"/>
      <c r="E179" s="1"/>
      <c r="F179" s="1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3"/>
      <c r="D180" s="13"/>
      <c r="E180" s="1"/>
      <c r="F180" s="1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3"/>
      <c r="D181" s="13"/>
      <c r="E181" s="1"/>
      <c r="F181" s="1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3"/>
      <c r="D182" s="13"/>
      <c r="E182" s="1"/>
      <c r="F182" s="1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3"/>
      <c r="D183" s="13"/>
      <c r="E183" s="1"/>
      <c r="F183" s="1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3"/>
      <c r="D184" s="13"/>
      <c r="E184" s="1"/>
      <c r="F184" s="1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3"/>
      <c r="D185" s="13"/>
      <c r="E185" s="1"/>
      <c r="F185" s="1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3"/>
      <c r="D186" s="13"/>
      <c r="E186" s="1"/>
      <c r="F186" s="1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3"/>
      <c r="D187" s="13"/>
      <c r="E187" s="1"/>
      <c r="F187" s="1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3"/>
      <c r="D188" s="13"/>
      <c r="E188" s="1"/>
      <c r="F188" s="1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3"/>
      <c r="D189" s="13"/>
      <c r="E189" s="1"/>
      <c r="F189" s="1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3"/>
      <c r="D190" s="13"/>
      <c r="E190" s="1"/>
      <c r="F190" s="1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3"/>
      <c r="D191" s="13"/>
      <c r="E191" s="1"/>
      <c r="F191" s="1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3"/>
      <c r="D192" s="13"/>
      <c r="E192" s="1"/>
      <c r="F192" s="1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3"/>
      <c r="D193" s="13"/>
      <c r="E193" s="1"/>
      <c r="F193" s="1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3"/>
      <c r="D194" s="13"/>
      <c r="E194" s="1"/>
      <c r="F194" s="1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3"/>
      <c r="D195" s="13"/>
      <c r="E195" s="1"/>
      <c r="F195" s="1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3"/>
      <c r="D196" s="13"/>
      <c r="E196" s="1"/>
      <c r="F196" s="1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3"/>
      <c r="D197" s="13"/>
      <c r="E197" s="1"/>
      <c r="F197" s="1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3"/>
      <c r="D198" s="13"/>
      <c r="E198" s="1"/>
      <c r="F198" s="1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3"/>
      <c r="D199" s="13"/>
      <c r="E199" s="1"/>
      <c r="F199" s="1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3"/>
      <c r="D200" s="13"/>
      <c r="E200" s="1"/>
      <c r="F200" s="1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3"/>
      <c r="D201" s="13"/>
      <c r="E201" s="1"/>
      <c r="F201" s="1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3"/>
      <c r="D202" s="13"/>
      <c r="E202" s="1"/>
      <c r="F202" s="1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3"/>
      <c r="D203" s="13"/>
      <c r="E203" s="1"/>
      <c r="F203" s="1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3"/>
      <c r="D204" s="13"/>
      <c r="E204" s="1"/>
      <c r="F204" s="1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3"/>
      <c r="D205" s="13"/>
      <c r="E205" s="1"/>
      <c r="F205" s="1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3"/>
      <c r="D206" s="13"/>
      <c r="E206" s="1"/>
      <c r="F206" s="1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3"/>
      <c r="D207" s="13"/>
      <c r="E207" s="1"/>
      <c r="F207" s="1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3"/>
      <c r="D208" s="13"/>
      <c r="E208" s="1"/>
      <c r="F208" s="1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3"/>
      <c r="D209" s="13"/>
      <c r="E209" s="1"/>
      <c r="F209" s="1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3"/>
      <c r="D210" s="13"/>
      <c r="E210" s="1"/>
      <c r="F210" s="1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3"/>
      <c r="D211" s="13"/>
      <c r="E211" s="1"/>
      <c r="F211" s="1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3"/>
      <c r="D212" s="13"/>
      <c r="E212" s="1"/>
      <c r="F212" s="1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3"/>
      <c r="D213" s="13"/>
      <c r="E213" s="1"/>
      <c r="F213" s="1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3"/>
      <c r="D214" s="13"/>
      <c r="E214" s="1"/>
      <c r="F214" s="1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3"/>
      <c r="D215" s="13"/>
      <c r="E215" s="1"/>
      <c r="F215" s="1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3"/>
      <c r="D216" s="13"/>
      <c r="E216" s="1"/>
      <c r="F216" s="1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3"/>
      <c r="D217" s="13"/>
      <c r="E217" s="1"/>
      <c r="F217" s="1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3"/>
      <c r="D218" s="13"/>
      <c r="E218" s="1"/>
      <c r="F218" s="1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3"/>
      <c r="D219" s="13"/>
      <c r="E219" s="1"/>
      <c r="F219" s="1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3"/>
      <c r="D220" s="13"/>
      <c r="E220" s="1"/>
      <c r="F220" s="1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3"/>
      <c r="D221" s="13"/>
      <c r="E221" s="1"/>
      <c r="F221" s="1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3"/>
      <c r="D222" s="13"/>
      <c r="E222" s="1"/>
      <c r="F222" s="1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3"/>
      <c r="D223" s="13"/>
      <c r="E223" s="1"/>
      <c r="F223" s="1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3"/>
      <c r="D224" s="13"/>
      <c r="E224" s="1"/>
      <c r="F224" s="1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3"/>
      <c r="D225" s="13"/>
      <c r="E225" s="1"/>
      <c r="F225" s="1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3"/>
      <c r="D226" s="13"/>
      <c r="E226" s="1"/>
      <c r="F226" s="1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3"/>
      <c r="D227" s="13"/>
      <c r="E227" s="1"/>
      <c r="F227" s="1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3"/>
      <c r="D228" s="13"/>
      <c r="E228" s="1"/>
      <c r="F228" s="1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3"/>
      <c r="D229" s="13"/>
      <c r="E229" s="1"/>
      <c r="F229" s="1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3"/>
      <c r="D230" s="13"/>
      <c r="E230" s="1"/>
      <c r="F230" s="1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3"/>
      <c r="D231" s="13"/>
      <c r="E231" s="1"/>
      <c r="F231" s="1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3"/>
      <c r="D232" s="13"/>
      <c r="E232" s="1"/>
      <c r="F232" s="1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3"/>
      <c r="D233" s="13"/>
      <c r="E233" s="1"/>
      <c r="F233" s="1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3"/>
      <c r="D234" s="13"/>
      <c r="E234" s="1"/>
      <c r="F234" s="1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3"/>
      <c r="D235" s="13"/>
      <c r="E235" s="1"/>
      <c r="F235" s="1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3"/>
      <c r="D236" s="13"/>
      <c r="E236" s="1"/>
      <c r="F236" s="1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3"/>
      <c r="D237" s="13"/>
      <c r="E237" s="1"/>
      <c r="F237" s="1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3"/>
      <c r="D238" s="13"/>
      <c r="E238" s="1"/>
      <c r="F238" s="1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3"/>
      <c r="D239" s="13"/>
      <c r="E239" s="1"/>
      <c r="F239" s="1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3"/>
      <c r="D240" s="13"/>
      <c r="E240" s="1"/>
      <c r="F240" s="1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3"/>
      <c r="D241" s="13"/>
      <c r="E241" s="1"/>
      <c r="F241" s="1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3"/>
      <c r="D242" s="13"/>
      <c r="E242" s="1"/>
      <c r="F242" s="1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3"/>
      <c r="D243" s="13"/>
      <c r="E243" s="1"/>
      <c r="F243" s="1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3"/>
      <c r="D244" s="13"/>
      <c r="E244" s="1"/>
      <c r="F244" s="1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3"/>
      <c r="D245" s="13"/>
      <c r="E245" s="1"/>
      <c r="F245" s="1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3"/>
      <c r="D246" s="13"/>
      <c r="E246" s="1"/>
      <c r="F246" s="1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3"/>
      <c r="D247" s="13"/>
      <c r="E247" s="1"/>
      <c r="F247" s="1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3"/>
      <c r="D248" s="13"/>
      <c r="E248" s="1"/>
      <c r="F248" s="1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3"/>
      <c r="D249" s="13"/>
      <c r="E249" s="1"/>
      <c r="F249" s="1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3"/>
      <c r="D250" s="13"/>
      <c r="E250" s="1"/>
      <c r="F250" s="1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3"/>
      <c r="D251" s="13"/>
      <c r="E251" s="1"/>
      <c r="F251" s="1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3"/>
      <c r="D252" s="13"/>
      <c r="E252" s="1"/>
      <c r="F252" s="1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3"/>
      <c r="D253" s="13"/>
      <c r="E253" s="1"/>
      <c r="F253" s="1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3"/>
      <c r="D254" s="13"/>
      <c r="E254" s="1"/>
      <c r="F254" s="1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3"/>
      <c r="D255" s="13"/>
      <c r="E255" s="1"/>
      <c r="F255" s="1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3"/>
      <c r="D256" s="13"/>
      <c r="E256" s="1"/>
      <c r="F256" s="1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3"/>
      <c r="D257" s="13"/>
      <c r="E257" s="1"/>
      <c r="F257" s="1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3"/>
      <c r="D258" s="13"/>
      <c r="E258" s="1"/>
      <c r="F258" s="1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3"/>
      <c r="D259" s="13"/>
      <c r="E259" s="1"/>
      <c r="F259" s="1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3"/>
      <c r="D260" s="13"/>
      <c r="E260" s="1"/>
      <c r="F260" s="1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3"/>
      <c r="D261" s="13"/>
      <c r="E261" s="1"/>
      <c r="F261" s="1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3"/>
      <c r="D262" s="13"/>
      <c r="E262" s="1"/>
      <c r="F262" s="1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3"/>
      <c r="D263" s="13"/>
      <c r="E263" s="1"/>
      <c r="F263" s="1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3"/>
      <c r="D264" s="13"/>
      <c r="E264" s="1"/>
      <c r="F264" s="1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3"/>
      <c r="D265" s="13"/>
      <c r="E265" s="1"/>
      <c r="F265" s="1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3"/>
      <c r="D266" s="13"/>
      <c r="E266" s="1"/>
      <c r="F266" s="1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3"/>
      <c r="D267" s="13"/>
      <c r="E267" s="1"/>
      <c r="F267" s="1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3"/>
      <c r="D268" s="13"/>
      <c r="E268" s="1"/>
      <c r="F268" s="1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3"/>
      <c r="D269" s="13"/>
      <c r="E269" s="1"/>
      <c r="F269" s="1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3"/>
      <c r="D270" s="13"/>
      <c r="E270" s="1"/>
      <c r="F270" s="1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3"/>
      <c r="D271" s="13"/>
      <c r="E271" s="1"/>
      <c r="F271" s="1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3"/>
      <c r="D272" s="13"/>
      <c r="E272" s="1"/>
      <c r="F272" s="1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3"/>
      <c r="D273" s="13"/>
      <c r="E273" s="1"/>
      <c r="F273" s="1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3"/>
      <c r="D274" s="13"/>
      <c r="E274" s="1"/>
      <c r="F274" s="1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3"/>
      <c r="D275" s="13"/>
      <c r="E275" s="1"/>
      <c r="F275" s="1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3"/>
      <c r="D276" s="13"/>
      <c r="E276" s="1"/>
      <c r="F276" s="1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 t="s">
        <v>584</v>
      </c>
      <c r="C277" s="13"/>
      <c r="D277" s="13"/>
      <c r="E277" s="1"/>
      <c r="F277" s="1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3"/>
      <c r="D278" s="13"/>
      <c r="E278" s="1"/>
      <c r="F278" s="1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 t="s">
        <v>585</v>
      </c>
      <c r="C279" s="13"/>
      <c r="D279" s="13"/>
      <c r="E279" s="1"/>
      <c r="F279" s="1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3"/>
      <c r="D280" s="13"/>
      <c r="E280" s="1"/>
      <c r="F280" s="1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 t="s">
        <v>586</v>
      </c>
      <c r="C281" s="13"/>
      <c r="D281" s="13"/>
      <c r="E281" s="1"/>
      <c r="F281" s="1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3"/>
      <c r="D282" s="13"/>
      <c r="E282" s="1"/>
      <c r="F282" s="1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 t="s">
        <v>587</v>
      </c>
      <c r="C283" s="13"/>
      <c r="D283" s="13"/>
      <c r="E283" s="1"/>
      <c r="F283" s="1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3"/>
      <c r="D284" s="13"/>
      <c r="E284" s="1"/>
      <c r="F284" s="1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 t="s">
        <v>588</v>
      </c>
      <c r="C285" s="13"/>
      <c r="D285" s="13"/>
      <c r="E285" s="1"/>
      <c r="F285" s="1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3"/>
      <c r="D286" s="13"/>
      <c r="E286" s="1"/>
      <c r="F286" s="1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 t="s">
        <v>589</v>
      </c>
      <c r="C287" s="13"/>
      <c r="D287" s="13"/>
      <c r="E287" s="1"/>
      <c r="F287" s="1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3"/>
      <c r="D288" s="13"/>
      <c r="E288" s="1"/>
      <c r="F288" s="1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 t="s">
        <v>590</v>
      </c>
      <c r="C289" s="13"/>
      <c r="D289" s="13"/>
      <c r="E289" s="1"/>
      <c r="F289" s="1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3"/>
      <c r="D290" s="13"/>
      <c r="E290" s="1"/>
      <c r="F290" s="1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 t="s">
        <v>591</v>
      </c>
      <c r="C291" s="13"/>
      <c r="D291" s="13"/>
      <c r="E291" s="1"/>
      <c r="F291" s="1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3"/>
      <c r="D292" s="13"/>
      <c r="E292" s="1"/>
      <c r="F292" s="1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3"/>
      <c r="D293" s="13"/>
      <c r="E293" s="1"/>
      <c r="F293" s="1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3"/>
      <c r="D294" s="13"/>
      <c r="E294" s="1"/>
      <c r="F294" s="1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3"/>
      <c r="D295" s="13"/>
      <c r="E295" s="1"/>
      <c r="F295" s="1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3"/>
      <c r="D296" s="13"/>
      <c r="E296" s="1"/>
      <c r="F296" s="1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3"/>
      <c r="D297" s="13"/>
      <c r="E297" s="1"/>
      <c r="F297" s="1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3"/>
      <c r="D298" s="13"/>
      <c r="E298" s="1"/>
      <c r="F298" s="1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3"/>
      <c r="D299" s="13"/>
      <c r="E299" s="1"/>
      <c r="F299" s="1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3"/>
      <c r="D300" s="13"/>
      <c r="E300" s="1"/>
      <c r="F300" s="1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3"/>
      <c r="D301" s="13"/>
      <c r="E301" s="1"/>
      <c r="F301" s="1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3"/>
      <c r="D302" s="13"/>
      <c r="E302" s="1"/>
      <c r="F302" s="1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3"/>
      <c r="D303" s="13"/>
      <c r="E303" s="1"/>
      <c r="F303" s="1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3"/>
      <c r="D304" s="13"/>
      <c r="E304" s="1"/>
      <c r="F304" s="1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3"/>
      <c r="D305" s="13"/>
      <c r="E305" s="1"/>
      <c r="F305" s="1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3"/>
      <c r="D306" s="13"/>
      <c r="E306" s="1"/>
      <c r="F306" s="1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3"/>
      <c r="D307" s="13"/>
      <c r="E307" s="1"/>
      <c r="F307" s="1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3"/>
      <c r="D308" s="13"/>
      <c r="E308" s="1"/>
      <c r="F308" s="1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3"/>
      <c r="D309" s="13"/>
      <c r="E309" s="1"/>
      <c r="F309" s="1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3"/>
      <c r="D310" s="13"/>
      <c r="E310" s="1"/>
      <c r="F310" s="1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3"/>
      <c r="D311" s="13"/>
      <c r="E311" s="1"/>
      <c r="F311" s="1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3"/>
      <c r="D312" s="13"/>
      <c r="E312" s="1"/>
      <c r="F312" s="1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3"/>
      <c r="D313" s="13"/>
      <c r="E313" s="1"/>
      <c r="F313" s="1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3"/>
      <c r="D314" s="13"/>
      <c r="E314" s="1"/>
      <c r="F314" s="1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3"/>
      <c r="D315" s="13"/>
      <c r="E315" s="1"/>
      <c r="F315" s="1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3"/>
      <c r="D316" s="13"/>
      <c r="E316" s="1"/>
      <c r="F316" s="1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3"/>
      <c r="D317" s="13"/>
      <c r="E317" s="1"/>
      <c r="F317" s="1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3"/>
      <c r="D318" s="13"/>
      <c r="E318" s="1"/>
      <c r="F318" s="1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3"/>
      <c r="D319" s="13"/>
      <c r="E319" s="1"/>
      <c r="F319" s="1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3"/>
      <c r="D320" s="13"/>
      <c r="E320" s="1"/>
      <c r="F320" s="1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3"/>
      <c r="D321" s="13"/>
      <c r="E321" s="1"/>
      <c r="F321" s="1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3"/>
      <c r="D322" s="13"/>
      <c r="E322" s="1"/>
      <c r="F322" s="1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3"/>
      <c r="D323" s="13"/>
      <c r="E323" s="1"/>
      <c r="F323" s="1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3"/>
      <c r="D324" s="13"/>
      <c r="E324" s="1"/>
      <c r="F324" s="1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3"/>
      <c r="D325" s="13"/>
      <c r="E325" s="1"/>
      <c r="F325" s="1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3"/>
      <c r="D326" s="13"/>
      <c r="E326" s="1"/>
      <c r="F326" s="1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3"/>
      <c r="D327" s="13"/>
      <c r="E327" s="1"/>
      <c r="F327" s="1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3"/>
      <c r="D328" s="13"/>
      <c r="E328" s="1"/>
      <c r="F328" s="1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3"/>
      <c r="D329" s="13"/>
      <c r="E329" s="1"/>
      <c r="F329" s="1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3"/>
      <c r="D330" s="13"/>
      <c r="E330" s="1"/>
      <c r="F330" s="1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3"/>
      <c r="D331" s="13"/>
      <c r="E331" s="1"/>
      <c r="F331" s="1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3"/>
      <c r="D332" s="13"/>
      <c r="E332" s="1"/>
      <c r="F332" s="1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3"/>
      <c r="D333" s="13"/>
      <c r="E333" s="1"/>
      <c r="F333" s="1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3"/>
      <c r="D334" s="13"/>
      <c r="E334" s="1"/>
      <c r="F334" s="1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3"/>
      <c r="D335" s="13"/>
      <c r="E335" s="1"/>
      <c r="F335" s="1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3"/>
      <c r="D336" s="13"/>
      <c r="E336" s="1"/>
      <c r="F336" s="1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3"/>
      <c r="D337" s="13"/>
      <c r="E337" s="1"/>
      <c r="F337" s="1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3"/>
      <c r="D338" s="13"/>
      <c r="E338" s="1"/>
      <c r="F338" s="1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3"/>
      <c r="D339" s="13"/>
      <c r="E339" s="1"/>
      <c r="F339" s="1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3"/>
      <c r="D340" s="13"/>
      <c r="E340" s="1"/>
      <c r="F340" s="1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3"/>
      <c r="D341" s="13"/>
      <c r="E341" s="1"/>
      <c r="F341" s="1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3"/>
      <c r="D342" s="13"/>
      <c r="E342" s="1"/>
      <c r="F342" s="1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3"/>
      <c r="D343" s="13"/>
      <c r="E343" s="1"/>
      <c r="F343" s="1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3"/>
      <c r="D344" s="13"/>
      <c r="E344" s="1"/>
      <c r="F344" s="1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3"/>
      <c r="D345" s="13"/>
      <c r="E345" s="1"/>
      <c r="F345" s="1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3"/>
      <c r="D346" s="13"/>
      <c r="E346" s="1"/>
      <c r="F346" s="1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3"/>
      <c r="D347" s="13"/>
      <c r="E347" s="1"/>
      <c r="F347" s="1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3"/>
      <c r="D348" s="13"/>
      <c r="E348" s="1"/>
      <c r="F348" s="1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3"/>
      <c r="D349" s="13"/>
      <c r="E349" s="1"/>
      <c r="F349" s="1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3"/>
      <c r="D350" s="13"/>
      <c r="E350" s="1"/>
      <c r="F350" s="1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3"/>
      <c r="D351" s="13"/>
      <c r="E351" s="1"/>
      <c r="F351" s="1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3"/>
      <c r="D352" s="13"/>
      <c r="E352" s="1"/>
      <c r="F352" s="1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3"/>
      <c r="D353" s="13"/>
      <c r="E353" s="1"/>
      <c r="F353" s="1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3"/>
      <c r="D354" s="13"/>
      <c r="E354" s="1"/>
      <c r="F354" s="1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3"/>
      <c r="D355" s="13"/>
      <c r="E355" s="1"/>
      <c r="F355" s="1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3"/>
      <c r="D356" s="13"/>
      <c r="E356" s="1"/>
      <c r="F356" s="1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3"/>
      <c r="D357" s="13"/>
      <c r="E357" s="1"/>
      <c r="F357" s="1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3"/>
      <c r="D358" s="13"/>
      <c r="E358" s="1"/>
      <c r="F358" s="1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3"/>
      <c r="D359" s="13"/>
      <c r="E359" s="1"/>
      <c r="F359" s="1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3"/>
      <c r="D360" s="13"/>
      <c r="E360" s="1"/>
      <c r="F360" s="1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3"/>
      <c r="D361" s="13"/>
      <c r="E361" s="1"/>
      <c r="F361" s="1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3"/>
      <c r="D362" s="13"/>
      <c r="E362" s="1"/>
      <c r="F362" s="1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3"/>
      <c r="D363" s="13"/>
      <c r="E363" s="1"/>
      <c r="F363" s="1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3"/>
      <c r="D364" s="13"/>
      <c r="E364" s="1"/>
      <c r="F364" s="1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3"/>
      <c r="D365" s="13"/>
      <c r="E365" s="1"/>
      <c r="F365" s="1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3"/>
      <c r="D366" s="13"/>
      <c r="E366" s="1"/>
      <c r="F366" s="1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3"/>
      <c r="D367" s="13"/>
      <c r="E367" s="1"/>
      <c r="F367" s="1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3"/>
      <c r="D368" s="13"/>
      <c r="E368" s="1"/>
      <c r="F368" s="1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3"/>
      <c r="D369" s="13"/>
      <c r="E369" s="1"/>
      <c r="F369" s="1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3"/>
      <c r="D370" s="13"/>
      <c r="E370" s="1"/>
      <c r="F370" s="1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3"/>
      <c r="D371" s="13"/>
      <c r="E371" s="1"/>
      <c r="F371" s="1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3"/>
      <c r="D372" s="13"/>
      <c r="E372" s="1"/>
      <c r="F372" s="1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3"/>
      <c r="D373" s="13"/>
      <c r="E373" s="1"/>
      <c r="F373" s="1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3"/>
      <c r="D374" s="13"/>
      <c r="E374" s="1"/>
      <c r="F374" s="1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3"/>
      <c r="D375" s="13"/>
      <c r="E375" s="1"/>
      <c r="F375" s="1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3"/>
      <c r="D376" s="13"/>
      <c r="E376" s="1"/>
      <c r="F376" s="1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3"/>
      <c r="D377" s="13"/>
      <c r="E377" s="1"/>
      <c r="F377" s="1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3"/>
      <c r="D378" s="13"/>
      <c r="E378" s="1"/>
      <c r="F378" s="1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3"/>
      <c r="D379" s="13"/>
      <c r="E379" s="1"/>
      <c r="F379" s="1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3"/>
      <c r="D380" s="13"/>
      <c r="E380" s="1"/>
      <c r="F380" s="1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3"/>
      <c r="D381" s="13"/>
      <c r="E381" s="1"/>
      <c r="F381" s="1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3"/>
      <c r="D382" s="13"/>
      <c r="E382" s="1"/>
      <c r="F382" s="1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3"/>
      <c r="D383" s="13"/>
      <c r="E383" s="1"/>
      <c r="F383" s="1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3"/>
      <c r="D384" s="13"/>
      <c r="E384" s="1"/>
      <c r="F384" s="1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3"/>
      <c r="D385" s="13"/>
      <c r="E385" s="1"/>
      <c r="F385" s="1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3"/>
      <c r="D386" s="13"/>
      <c r="E386" s="1"/>
      <c r="F386" s="1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3"/>
      <c r="D387" s="13"/>
      <c r="E387" s="1"/>
      <c r="F387" s="1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3"/>
      <c r="D388" s="13"/>
      <c r="E388" s="1"/>
      <c r="F388" s="1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3"/>
      <c r="D389" s="13"/>
      <c r="E389" s="1"/>
      <c r="F389" s="1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3"/>
      <c r="D390" s="13"/>
      <c r="E390" s="1"/>
      <c r="F390" s="1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3"/>
      <c r="D391" s="13"/>
      <c r="E391" s="1"/>
      <c r="F391" s="1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3"/>
      <c r="D392" s="13"/>
      <c r="E392" s="1"/>
      <c r="F392" s="1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3"/>
      <c r="D393" s="13"/>
      <c r="E393" s="1"/>
      <c r="F393" s="1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3"/>
      <c r="D394" s="13"/>
      <c r="E394" s="1"/>
      <c r="F394" s="1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3"/>
      <c r="D395" s="13"/>
      <c r="E395" s="1"/>
      <c r="F395" s="1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3"/>
      <c r="D396" s="13"/>
      <c r="E396" s="1"/>
      <c r="F396" s="1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3"/>
      <c r="D397" s="13"/>
      <c r="E397" s="1"/>
      <c r="F397" s="1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3"/>
      <c r="D398" s="13"/>
      <c r="E398" s="1"/>
      <c r="F398" s="1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3"/>
      <c r="D399" s="13"/>
      <c r="E399" s="1"/>
      <c r="F399" s="1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3"/>
      <c r="D400" s="13"/>
      <c r="E400" s="1"/>
      <c r="F400" s="1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3"/>
      <c r="D401" s="13"/>
      <c r="E401" s="1"/>
      <c r="F401" s="1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3"/>
      <c r="D402" s="13"/>
      <c r="E402" s="1"/>
      <c r="F402" s="1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3"/>
      <c r="D403" s="13"/>
      <c r="E403" s="1"/>
      <c r="F403" s="1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3"/>
      <c r="D404" s="13"/>
      <c r="E404" s="1"/>
      <c r="F404" s="1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3"/>
      <c r="D405" s="13"/>
      <c r="E405" s="1"/>
      <c r="F405" s="1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3"/>
      <c r="D406" s="13"/>
      <c r="E406" s="1"/>
      <c r="F406" s="1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3"/>
      <c r="D407" s="13"/>
      <c r="E407" s="1"/>
      <c r="F407" s="1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3"/>
      <c r="D408" s="13"/>
      <c r="E408" s="1"/>
      <c r="F408" s="1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3"/>
      <c r="D409" s="13"/>
      <c r="E409" s="1"/>
      <c r="F409" s="1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3"/>
      <c r="D410" s="13"/>
      <c r="E410" s="1"/>
      <c r="F410" s="1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3"/>
      <c r="D411" s="13"/>
      <c r="E411" s="1"/>
      <c r="F411" s="1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3"/>
      <c r="D412" s="13"/>
      <c r="E412" s="1"/>
      <c r="F412" s="1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3"/>
      <c r="D413" s="13"/>
      <c r="E413" s="1"/>
      <c r="F413" s="1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3"/>
      <c r="D414" s="13"/>
      <c r="E414" s="1"/>
      <c r="F414" s="1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3"/>
      <c r="D415" s="13"/>
      <c r="E415" s="1"/>
      <c r="F415" s="1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3"/>
      <c r="D416" s="13"/>
      <c r="E416" s="1"/>
      <c r="F416" s="1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3"/>
      <c r="D417" s="13"/>
      <c r="E417" s="1"/>
      <c r="F417" s="1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3"/>
      <c r="D418" s="13"/>
      <c r="E418" s="1"/>
      <c r="F418" s="1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3"/>
      <c r="D419" s="13"/>
      <c r="E419" s="1"/>
      <c r="F419" s="1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3"/>
      <c r="D420" s="13"/>
      <c r="E420" s="1"/>
      <c r="F420" s="1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3"/>
      <c r="D421" s="13"/>
      <c r="E421" s="1"/>
      <c r="F421" s="1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3"/>
      <c r="D422" s="13"/>
      <c r="E422" s="1"/>
      <c r="F422" s="1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3"/>
      <c r="D423" s="13"/>
      <c r="E423" s="1"/>
      <c r="F423" s="1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3"/>
      <c r="D424" s="13"/>
      <c r="E424" s="1"/>
      <c r="F424" s="1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3"/>
      <c r="D425" s="13"/>
      <c r="E425" s="1"/>
      <c r="F425" s="1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3"/>
      <c r="D426" s="13"/>
      <c r="E426" s="1"/>
      <c r="F426" s="1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3"/>
      <c r="D427" s="13"/>
      <c r="E427" s="1"/>
      <c r="F427" s="1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3"/>
      <c r="D428" s="13"/>
      <c r="E428" s="1"/>
      <c r="F428" s="1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3"/>
      <c r="D429" s="13"/>
      <c r="E429" s="1"/>
      <c r="F429" s="1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3"/>
      <c r="D430" s="13"/>
      <c r="E430" s="1"/>
      <c r="F430" s="1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3"/>
      <c r="D431" s="13"/>
      <c r="E431" s="1"/>
      <c r="F431" s="1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3"/>
      <c r="D432" s="13"/>
      <c r="E432" s="1"/>
      <c r="F432" s="1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3"/>
      <c r="D433" s="13"/>
      <c r="E433" s="1"/>
      <c r="F433" s="1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3"/>
      <c r="D434" s="13"/>
      <c r="E434" s="1"/>
      <c r="F434" s="1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3"/>
      <c r="D435" s="13"/>
      <c r="E435" s="1"/>
      <c r="F435" s="1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3"/>
      <c r="D436" s="13"/>
      <c r="E436" s="1"/>
      <c r="F436" s="1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3"/>
      <c r="D437" s="13"/>
      <c r="E437" s="1"/>
      <c r="F437" s="1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3"/>
      <c r="D438" s="13"/>
      <c r="E438" s="1"/>
      <c r="F438" s="1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3"/>
      <c r="D439" s="13"/>
      <c r="E439" s="1"/>
      <c r="F439" s="1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3"/>
      <c r="D440" s="13"/>
      <c r="E440" s="1"/>
      <c r="F440" s="1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3"/>
      <c r="D441" s="13"/>
      <c r="E441" s="1"/>
      <c r="F441" s="1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3"/>
      <c r="D442" s="13"/>
      <c r="E442" s="1"/>
      <c r="F442" s="1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3"/>
      <c r="D443" s="13"/>
      <c r="E443" s="1"/>
      <c r="F443" s="1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3"/>
      <c r="D444" s="13"/>
      <c r="E444" s="1"/>
      <c r="F444" s="1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3"/>
      <c r="D445" s="13"/>
      <c r="E445" s="1"/>
      <c r="F445" s="1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3"/>
      <c r="D446" s="13"/>
      <c r="E446" s="1"/>
      <c r="F446" s="1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3"/>
      <c r="D447" s="13"/>
      <c r="E447" s="1"/>
      <c r="F447" s="1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3"/>
      <c r="D448" s="13"/>
      <c r="E448" s="1"/>
      <c r="F448" s="1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3"/>
      <c r="D449" s="13"/>
      <c r="E449" s="1"/>
      <c r="F449" s="1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3"/>
      <c r="D450" s="13"/>
      <c r="E450" s="1"/>
      <c r="F450" s="1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3"/>
      <c r="D451" s="13"/>
      <c r="E451" s="1"/>
      <c r="F451" s="1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3"/>
      <c r="D452" s="13"/>
      <c r="E452" s="1"/>
      <c r="F452" s="1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3"/>
      <c r="D453" s="13"/>
      <c r="E453" s="1"/>
      <c r="F453" s="1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3"/>
      <c r="D454" s="13"/>
      <c r="E454" s="1"/>
      <c r="F454" s="1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3"/>
      <c r="D455" s="13"/>
      <c r="E455" s="1"/>
      <c r="F455" s="1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3"/>
      <c r="D456" s="13"/>
      <c r="E456" s="1"/>
      <c r="F456" s="1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3"/>
      <c r="D457" s="13"/>
      <c r="E457" s="1"/>
      <c r="F457" s="1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3"/>
      <c r="D458" s="13"/>
      <c r="E458" s="1"/>
      <c r="F458" s="1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3"/>
      <c r="D459" s="13"/>
      <c r="E459" s="1"/>
      <c r="F459" s="1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3"/>
      <c r="D460" s="13"/>
      <c r="E460" s="1"/>
      <c r="F460" s="1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3"/>
      <c r="D461" s="13"/>
      <c r="E461" s="1"/>
      <c r="F461" s="1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3"/>
      <c r="D462" s="13"/>
      <c r="E462" s="1"/>
      <c r="F462" s="1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3"/>
      <c r="D463" s="13"/>
      <c r="E463" s="1"/>
      <c r="F463" s="1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3"/>
      <c r="D464" s="13"/>
      <c r="E464" s="1"/>
      <c r="F464" s="1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3"/>
      <c r="D465" s="13"/>
      <c r="E465" s="1"/>
      <c r="F465" s="1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3"/>
      <c r="D466" s="13"/>
      <c r="E466" s="1"/>
      <c r="F466" s="1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3"/>
      <c r="D467" s="13"/>
      <c r="E467" s="1"/>
      <c r="F467" s="1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3"/>
      <c r="D468" s="13"/>
      <c r="E468" s="1"/>
      <c r="F468" s="1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3"/>
      <c r="D469" s="13"/>
      <c r="E469" s="1"/>
      <c r="F469" s="1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3"/>
      <c r="D470" s="13"/>
      <c r="E470" s="1"/>
      <c r="F470" s="1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3"/>
      <c r="D471" s="13"/>
      <c r="E471" s="1"/>
      <c r="F471" s="1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3"/>
      <c r="D472" s="13"/>
      <c r="E472" s="1"/>
      <c r="F472" s="1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3"/>
      <c r="D473" s="13"/>
      <c r="E473" s="1"/>
      <c r="F473" s="1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3"/>
      <c r="D474" s="13"/>
      <c r="E474" s="1"/>
      <c r="F474" s="1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3"/>
      <c r="D475" s="13"/>
      <c r="E475" s="1"/>
      <c r="F475" s="1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3"/>
      <c r="D476" s="13"/>
      <c r="E476" s="1"/>
      <c r="F476" s="1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3"/>
      <c r="D477" s="13"/>
      <c r="E477" s="1"/>
      <c r="F477" s="1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3"/>
      <c r="D478" s="13"/>
      <c r="E478" s="1"/>
      <c r="F478" s="1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3"/>
      <c r="D479" s="13"/>
      <c r="E479" s="1"/>
      <c r="F479" s="1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3"/>
      <c r="D480" s="13"/>
      <c r="E480" s="1"/>
      <c r="F480" s="1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3"/>
      <c r="D481" s="13"/>
      <c r="E481" s="1"/>
      <c r="F481" s="1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3"/>
      <c r="D482" s="13"/>
      <c r="E482" s="1"/>
      <c r="F482" s="1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3"/>
      <c r="D483" s="13"/>
      <c r="E483" s="1"/>
      <c r="F483" s="1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3"/>
      <c r="D484" s="13"/>
      <c r="E484" s="1"/>
      <c r="F484" s="1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3"/>
      <c r="D485" s="13"/>
      <c r="E485" s="1"/>
      <c r="F485" s="1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3"/>
      <c r="D486" s="13"/>
      <c r="E486" s="1"/>
      <c r="F486" s="1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3"/>
      <c r="D487" s="13"/>
      <c r="E487" s="1"/>
      <c r="F487" s="1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3"/>
      <c r="D488" s="13"/>
      <c r="E488" s="1"/>
      <c r="F488" s="1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3"/>
      <c r="D489" s="13"/>
      <c r="E489" s="1"/>
      <c r="F489" s="1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3"/>
      <c r="D490" s="13"/>
      <c r="E490" s="1"/>
      <c r="F490" s="1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3"/>
      <c r="D491" s="13"/>
      <c r="E491" s="1"/>
      <c r="F491" s="1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3"/>
      <c r="D492" s="13"/>
      <c r="E492" s="1"/>
      <c r="F492" s="1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3"/>
      <c r="D493" s="13"/>
      <c r="E493" s="1"/>
      <c r="F493" s="1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3"/>
      <c r="D494" s="13"/>
      <c r="E494" s="1"/>
      <c r="F494" s="1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3"/>
      <c r="D495" s="13"/>
      <c r="E495" s="1"/>
      <c r="F495" s="1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3"/>
      <c r="D496" s="13"/>
      <c r="E496" s="1"/>
      <c r="F496" s="1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3"/>
      <c r="D497" s="13"/>
      <c r="E497" s="1"/>
      <c r="F497" s="1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3"/>
      <c r="D498" s="13"/>
      <c r="E498" s="1"/>
      <c r="F498" s="1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3"/>
      <c r="D499" s="13"/>
      <c r="E499" s="1"/>
      <c r="F499" s="1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3"/>
      <c r="D500" s="13"/>
      <c r="E500" s="1"/>
      <c r="F500" s="1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3"/>
      <c r="D501" s="13"/>
      <c r="E501" s="1"/>
      <c r="F501" s="1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3"/>
      <c r="D502" s="13"/>
      <c r="E502" s="1"/>
      <c r="F502" s="1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3"/>
      <c r="D503" s="13"/>
      <c r="E503" s="1"/>
      <c r="F503" s="1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3"/>
      <c r="D504" s="13"/>
      <c r="E504" s="1"/>
      <c r="F504" s="1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3"/>
      <c r="D505" s="13"/>
      <c r="E505" s="1"/>
      <c r="F505" s="1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3"/>
      <c r="D506" s="13"/>
      <c r="E506" s="1"/>
      <c r="F506" s="1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3"/>
      <c r="D507" s="13"/>
      <c r="E507" s="1"/>
      <c r="F507" s="1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3"/>
      <c r="D508" s="13"/>
      <c r="E508" s="1"/>
      <c r="F508" s="1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3"/>
      <c r="D509" s="13"/>
      <c r="E509" s="1"/>
      <c r="F509" s="1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3"/>
      <c r="D510" s="13"/>
      <c r="E510" s="1"/>
      <c r="F510" s="1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3"/>
      <c r="D511" s="13"/>
      <c r="E511" s="1"/>
      <c r="F511" s="1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3"/>
      <c r="D512" s="13"/>
      <c r="E512" s="1"/>
      <c r="F512" s="1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3"/>
      <c r="D513" s="13"/>
      <c r="E513" s="1"/>
      <c r="F513" s="1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3"/>
      <c r="D514" s="13"/>
      <c r="E514" s="1"/>
      <c r="F514" s="1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3"/>
      <c r="D515" s="13"/>
      <c r="E515" s="1"/>
      <c r="F515" s="1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3"/>
      <c r="D516" s="13"/>
      <c r="E516" s="1"/>
      <c r="F516" s="1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3"/>
      <c r="D517" s="13"/>
      <c r="E517" s="1"/>
      <c r="F517" s="1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3"/>
      <c r="D518" s="13"/>
      <c r="E518" s="1"/>
      <c r="F518" s="1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3"/>
      <c r="D519" s="13"/>
      <c r="E519" s="1"/>
      <c r="F519" s="1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3"/>
      <c r="D520" s="13"/>
      <c r="E520" s="1"/>
      <c r="F520" s="1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3"/>
      <c r="D521" s="13"/>
      <c r="E521" s="1"/>
      <c r="F521" s="1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3"/>
      <c r="D522" s="13"/>
      <c r="E522" s="1"/>
      <c r="F522" s="1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3"/>
      <c r="D523" s="13"/>
      <c r="E523" s="1"/>
      <c r="F523" s="1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3"/>
      <c r="D524" s="13"/>
      <c r="E524" s="1"/>
      <c r="F524" s="1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3"/>
      <c r="D525" s="13"/>
      <c r="E525" s="1"/>
      <c r="F525" s="1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3"/>
      <c r="D526" s="13"/>
      <c r="E526" s="1"/>
      <c r="F526" s="1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3"/>
      <c r="D527" s="13"/>
      <c r="E527" s="1"/>
      <c r="F527" s="1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3"/>
      <c r="D528" s="13"/>
      <c r="E528" s="1"/>
      <c r="F528" s="1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3"/>
      <c r="D529" s="13"/>
      <c r="E529" s="1"/>
      <c r="F529" s="1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3"/>
      <c r="D530" s="13"/>
      <c r="E530" s="1"/>
      <c r="F530" s="1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3"/>
      <c r="D531" s="13"/>
      <c r="E531" s="1"/>
      <c r="F531" s="1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3"/>
      <c r="D532" s="13"/>
      <c r="E532" s="1"/>
      <c r="F532" s="1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3"/>
      <c r="D533" s="13"/>
      <c r="E533" s="1"/>
      <c r="F533" s="1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3"/>
      <c r="D534" s="13"/>
      <c r="E534" s="1"/>
      <c r="F534" s="1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3"/>
      <c r="D535" s="13"/>
      <c r="E535" s="1"/>
      <c r="F535" s="1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3"/>
      <c r="D536" s="13"/>
      <c r="E536" s="1"/>
      <c r="F536" s="1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3"/>
      <c r="D537" s="13"/>
      <c r="E537" s="1"/>
      <c r="F537" s="1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3"/>
      <c r="D538" s="13"/>
      <c r="E538" s="1"/>
      <c r="F538" s="1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3"/>
      <c r="D539" s="13"/>
      <c r="E539" s="1"/>
      <c r="F539" s="1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3"/>
      <c r="D540" s="13"/>
      <c r="E540" s="1"/>
      <c r="F540" s="1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3"/>
      <c r="D541" s="13"/>
      <c r="E541" s="1"/>
      <c r="F541" s="1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3"/>
      <c r="D542" s="13"/>
      <c r="E542" s="1"/>
      <c r="F542" s="1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3"/>
      <c r="D543" s="13"/>
      <c r="E543" s="1"/>
      <c r="F543" s="1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3"/>
      <c r="D544" s="13"/>
      <c r="E544" s="1"/>
      <c r="F544" s="1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3"/>
      <c r="D545" s="13"/>
      <c r="E545" s="1"/>
      <c r="F545" s="1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3"/>
      <c r="D546" s="13"/>
      <c r="E546" s="1"/>
      <c r="F546" s="1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3"/>
      <c r="D547" s="13"/>
      <c r="E547" s="1"/>
      <c r="F547" s="1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3"/>
      <c r="D548" s="13"/>
      <c r="E548" s="1"/>
      <c r="F548" s="1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3"/>
      <c r="D549" s="13"/>
      <c r="E549" s="1"/>
      <c r="F549" s="1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3"/>
      <c r="D550" s="13"/>
      <c r="E550" s="1"/>
      <c r="F550" s="1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3"/>
      <c r="D551" s="13"/>
      <c r="E551" s="1"/>
      <c r="F551" s="1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3"/>
      <c r="D552" s="13"/>
      <c r="E552" s="1"/>
      <c r="F552" s="1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3"/>
      <c r="D553" s="13"/>
      <c r="E553" s="1"/>
      <c r="F553" s="1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3"/>
      <c r="D554" s="13"/>
      <c r="E554" s="1"/>
      <c r="F554" s="1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3"/>
      <c r="D555" s="13"/>
      <c r="E555" s="1"/>
      <c r="F555" s="1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3"/>
      <c r="D556" s="13"/>
      <c r="E556" s="1"/>
      <c r="F556" s="1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3"/>
      <c r="D557" s="13"/>
      <c r="E557" s="1"/>
      <c r="F557" s="1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3"/>
      <c r="D558" s="13"/>
      <c r="E558" s="1"/>
      <c r="F558" s="1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3"/>
      <c r="D559" s="13"/>
      <c r="E559" s="1"/>
      <c r="F559" s="1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3"/>
      <c r="D560" s="13"/>
      <c r="E560" s="1"/>
      <c r="F560" s="1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3"/>
      <c r="D561" s="13"/>
      <c r="E561" s="1"/>
      <c r="F561" s="1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3"/>
      <c r="D562" s="13"/>
      <c r="E562" s="1"/>
      <c r="F562" s="1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3"/>
      <c r="D563" s="13"/>
      <c r="E563" s="1"/>
      <c r="F563" s="1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3"/>
      <c r="D564" s="13"/>
      <c r="E564" s="1"/>
      <c r="F564" s="1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3"/>
      <c r="D565" s="13"/>
      <c r="E565" s="1"/>
      <c r="F565" s="1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3"/>
      <c r="D566" s="13"/>
      <c r="E566" s="1"/>
      <c r="F566" s="1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3"/>
      <c r="D567" s="13"/>
      <c r="E567" s="1"/>
      <c r="F567" s="1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3"/>
      <c r="D568" s="13"/>
      <c r="E568" s="1"/>
      <c r="F568" s="1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3"/>
      <c r="D569" s="13"/>
      <c r="E569" s="1"/>
      <c r="F569" s="1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3"/>
      <c r="D570" s="13"/>
      <c r="E570" s="1"/>
      <c r="F570" s="1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3"/>
      <c r="D571" s="13"/>
      <c r="E571" s="1"/>
      <c r="F571" s="1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3"/>
      <c r="D572" s="13"/>
      <c r="E572" s="1"/>
      <c r="F572" s="1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3"/>
      <c r="D573" s="13"/>
      <c r="E573" s="1"/>
      <c r="F573" s="1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3"/>
      <c r="D574" s="13"/>
      <c r="E574" s="1"/>
      <c r="F574" s="1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3"/>
      <c r="D575" s="13"/>
      <c r="E575" s="1"/>
      <c r="F575" s="1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3"/>
      <c r="D576" s="13"/>
      <c r="E576" s="1"/>
      <c r="F576" s="1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3"/>
      <c r="D577" s="13"/>
      <c r="E577" s="1"/>
      <c r="F577" s="1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3"/>
      <c r="D578" s="13"/>
      <c r="E578" s="1"/>
      <c r="F578" s="1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3"/>
      <c r="D579" s="13"/>
      <c r="E579" s="1"/>
      <c r="F579" s="1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3"/>
      <c r="D580" s="13"/>
      <c r="E580" s="1"/>
      <c r="F580" s="1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3"/>
      <c r="D581" s="13"/>
      <c r="E581" s="1"/>
      <c r="F581" s="1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3"/>
      <c r="D582" s="13"/>
      <c r="E582" s="1"/>
      <c r="F582" s="1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3"/>
      <c r="D583" s="13"/>
      <c r="E583" s="1"/>
      <c r="F583" s="1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3"/>
      <c r="D584" s="13"/>
      <c r="E584" s="1"/>
      <c r="F584" s="1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3"/>
      <c r="D585" s="13"/>
      <c r="E585" s="1"/>
      <c r="F585" s="1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3"/>
      <c r="D586" s="13"/>
      <c r="E586" s="1"/>
      <c r="F586" s="1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3"/>
      <c r="D587" s="13"/>
      <c r="E587" s="1"/>
      <c r="F587" s="1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3"/>
      <c r="D588" s="13"/>
      <c r="E588" s="1"/>
      <c r="F588" s="1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3"/>
      <c r="D589" s="13"/>
      <c r="E589" s="1"/>
      <c r="F589" s="1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3"/>
      <c r="D590" s="13"/>
      <c r="E590" s="1"/>
      <c r="F590" s="1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3"/>
      <c r="D591" s="13"/>
      <c r="E591" s="1"/>
      <c r="F591" s="1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3"/>
      <c r="D592" s="13"/>
      <c r="E592" s="1"/>
      <c r="F592" s="1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3"/>
      <c r="D593" s="13"/>
      <c r="E593" s="1"/>
      <c r="F593" s="1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3"/>
      <c r="D594" s="13"/>
      <c r="E594" s="1"/>
      <c r="F594" s="1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3"/>
      <c r="D595" s="13"/>
      <c r="E595" s="1"/>
      <c r="F595" s="1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3"/>
      <c r="D596" s="13"/>
      <c r="E596" s="1"/>
      <c r="F596" s="1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3"/>
      <c r="D597" s="13"/>
      <c r="E597" s="1"/>
      <c r="F597" s="1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3"/>
      <c r="D598" s="13"/>
      <c r="E598" s="1"/>
      <c r="F598" s="1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3"/>
      <c r="D599" s="13"/>
      <c r="E599" s="1"/>
      <c r="F599" s="1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3"/>
      <c r="D600" s="13"/>
      <c r="E600" s="1"/>
      <c r="F600" s="1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3"/>
      <c r="D601" s="13"/>
      <c r="E601" s="1"/>
      <c r="F601" s="1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3"/>
      <c r="D602" s="13"/>
      <c r="E602" s="1"/>
      <c r="F602" s="1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3"/>
      <c r="D603" s="13"/>
      <c r="E603" s="1"/>
      <c r="F603" s="1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3"/>
      <c r="D604" s="13"/>
      <c r="E604" s="1"/>
      <c r="F604" s="1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3"/>
      <c r="D605" s="13"/>
      <c r="E605" s="1"/>
      <c r="F605" s="1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3"/>
      <c r="D606" s="13"/>
      <c r="E606" s="1"/>
      <c r="F606" s="1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3"/>
      <c r="D607" s="13"/>
      <c r="E607" s="1"/>
      <c r="F607" s="1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3"/>
      <c r="D608" s="13"/>
      <c r="E608" s="1"/>
      <c r="F608" s="1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3"/>
      <c r="D609" s="13"/>
      <c r="E609" s="1"/>
      <c r="F609" s="1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3"/>
      <c r="D610" s="13"/>
      <c r="E610" s="1"/>
      <c r="F610" s="1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3"/>
      <c r="D611" s="13"/>
      <c r="E611" s="1"/>
      <c r="F611" s="1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3"/>
      <c r="D612" s="13"/>
      <c r="E612" s="1"/>
      <c r="F612" s="1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3"/>
      <c r="D613" s="13"/>
      <c r="E613" s="1"/>
      <c r="F613" s="1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3"/>
      <c r="D614" s="13"/>
      <c r="E614" s="1"/>
      <c r="F614" s="1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3"/>
      <c r="D615" s="13"/>
      <c r="E615" s="1"/>
      <c r="F615" s="1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3"/>
      <c r="D616" s="13"/>
      <c r="E616" s="1"/>
      <c r="F616" s="1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3"/>
      <c r="D617" s="13"/>
      <c r="E617" s="1"/>
      <c r="F617" s="1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3"/>
      <c r="D618" s="13"/>
      <c r="E618" s="1"/>
      <c r="F618" s="1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3"/>
      <c r="D619" s="13"/>
      <c r="E619" s="1"/>
      <c r="F619" s="1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3"/>
      <c r="D620" s="13"/>
      <c r="E620" s="1"/>
      <c r="F620" s="1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3"/>
      <c r="D621" s="13"/>
      <c r="E621" s="1"/>
      <c r="F621" s="1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3"/>
      <c r="D622" s="13"/>
      <c r="E622" s="1"/>
      <c r="F622" s="1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3"/>
      <c r="D623" s="13"/>
      <c r="E623" s="1"/>
      <c r="F623" s="1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3"/>
      <c r="D624" s="13"/>
      <c r="E624" s="1"/>
      <c r="F624" s="1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3"/>
      <c r="D625" s="13"/>
      <c r="E625" s="1"/>
      <c r="F625" s="1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3"/>
      <c r="D626" s="13"/>
      <c r="E626" s="1"/>
      <c r="F626" s="1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3"/>
      <c r="D627" s="13"/>
      <c r="E627" s="1"/>
      <c r="F627" s="1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3"/>
      <c r="D628" s="13"/>
      <c r="E628" s="1"/>
      <c r="F628" s="1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3"/>
      <c r="D629" s="13"/>
      <c r="E629" s="1"/>
      <c r="F629" s="1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3"/>
      <c r="D630" s="13"/>
      <c r="E630" s="1"/>
      <c r="F630" s="1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3"/>
      <c r="D631" s="13"/>
      <c r="E631" s="1"/>
      <c r="F631" s="1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3"/>
      <c r="D632" s="13"/>
      <c r="E632" s="1"/>
      <c r="F632" s="1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3"/>
      <c r="D633" s="13"/>
      <c r="E633" s="1"/>
      <c r="F633" s="1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3"/>
      <c r="D634" s="13"/>
      <c r="E634" s="1"/>
      <c r="F634" s="1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3"/>
      <c r="D635" s="13"/>
      <c r="E635" s="1"/>
      <c r="F635" s="1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3"/>
      <c r="D636" s="13"/>
      <c r="E636" s="1"/>
      <c r="F636" s="1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3"/>
      <c r="D637" s="13"/>
      <c r="E637" s="1"/>
      <c r="F637" s="1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3"/>
      <c r="D638" s="13"/>
      <c r="E638" s="1"/>
      <c r="F638" s="1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3"/>
      <c r="D639" s="13"/>
      <c r="E639" s="1"/>
      <c r="F639" s="1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3"/>
      <c r="D640" s="13"/>
      <c r="E640" s="1"/>
      <c r="F640" s="1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3"/>
      <c r="D641" s="13"/>
      <c r="E641" s="1"/>
      <c r="F641" s="1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3"/>
      <c r="D642" s="13"/>
      <c r="E642" s="1"/>
      <c r="F642" s="1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3"/>
      <c r="D643" s="13"/>
      <c r="E643" s="1"/>
      <c r="F643" s="1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3"/>
      <c r="D644" s="13"/>
      <c r="E644" s="1"/>
      <c r="F644" s="1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3"/>
      <c r="D645" s="13"/>
      <c r="E645" s="1"/>
      <c r="F645" s="1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3"/>
      <c r="D646" s="13"/>
      <c r="E646" s="1"/>
      <c r="F646" s="1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3"/>
      <c r="D647" s="13"/>
      <c r="E647" s="1"/>
      <c r="F647" s="1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3"/>
      <c r="D648" s="13"/>
      <c r="E648" s="1"/>
      <c r="F648" s="1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3"/>
      <c r="D649" s="13"/>
      <c r="E649" s="1"/>
      <c r="F649" s="1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3"/>
      <c r="D650" s="13"/>
      <c r="E650" s="1"/>
      <c r="F650" s="1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3"/>
      <c r="D651" s="13"/>
      <c r="E651" s="1"/>
      <c r="F651" s="1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3"/>
      <c r="D652" s="13"/>
      <c r="E652" s="1"/>
      <c r="F652" s="1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3"/>
      <c r="D653" s="13"/>
      <c r="E653" s="1"/>
      <c r="F653" s="1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3"/>
      <c r="D654" s="13"/>
      <c r="E654" s="1"/>
      <c r="F654" s="1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3"/>
      <c r="D655" s="13"/>
      <c r="E655" s="1"/>
      <c r="F655" s="1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3"/>
      <c r="D656" s="13"/>
      <c r="E656" s="1"/>
      <c r="F656" s="1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3"/>
      <c r="D657" s="13"/>
      <c r="E657" s="1"/>
      <c r="F657" s="1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3"/>
      <c r="D658" s="13"/>
      <c r="E658" s="1"/>
      <c r="F658" s="1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3"/>
      <c r="D659" s="13"/>
      <c r="E659" s="1"/>
      <c r="F659" s="1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3"/>
      <c r="D660" s="13"/>
      <c r="E660" s="1"/>
      <c r="F660" s="1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3"/>
      <c r="D661" s="13"/>
      <c r="E661" s="1"/>
      <c r="F661" s="1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3"/>
      <c r="D662" s="13"/>
      <c r="E662" s="1"/>
      <c r="F662" s="1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3"/>
      <c r="D663" s="13"/>
      <c r="E663" s="1"/>
      <c r="F663" s="1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3"/>
      <c r="D664" s="13"/>
      <c r="E664" s="1"/>
      <c r="F664" s="1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3"/>
      <c r="D665" s="13"/>
      <c r="E665" s="1"/>
      <c r="F665" s="1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3"/>
      <c r="D666" s="13"/>
      <c r="E666" s="1"/>
      <c r="F666" s="1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3"/>
      <c r="D667" s="13"/>
      <c r="E667" s="1"/>
      <c r="F667" s="1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3"/>
      <c r="D668" s="13"/>
      <c r="E668" s="1"/>
      <c r="F668" s="1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3"/>
      <c r="D669" s="13"/>
      <c r="E669" s="1"/>
      <c r="F669" s="1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3"/>
      <c r="D670" s="13"/>
      <c r="E670" s="1"/>
      <c r="F670" s="1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3"/>
      <c r="D671" s="13"/>
      <c r="E671" s="1"/>
      <c r="F671" s="1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3"/>
      <c r="D672" s="13"/>
      <c r="E672" s="1"/>
      <c r="F672" s="1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3"/>
      <c r="D673" s="13"/>
      <c r="E673" s="1"/>
      <c r="F673" s="1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3"/>
      <c r="D674" s="13"/>
      <c r="E674" s="1"/>
      <c r="F674" s="1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3"/>
      <c r="D675" s="13"/>
      <c r="E675" s="1"/>
      <c r="F675" s="1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3"/>
      <c r="D676" s="13"/>
      <c r="E676" s="1"/>
      <c r="F676" s="1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3"/>
      <c r="D677" s="13"/>
      <c r="E677" s="1"/>
      <c r="F677" s="1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3"/>
      <c r="D678" s="13"/>
      <c r="E678" s="1"/>
      <c r="F678" s="1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3"/>
      <c r="D679" s="13"/>
      <c r="E679" s="1"/>
      <c r="F679" s="1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3"/>
      <c r="D680" s="13"/>
      <c r="E680" s="1"/>
      <c r="F680" s="1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3"/>
      <c r="D681" s="13"/>
      <c r="E681" s="1"/>
      <c r="F681" s="1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3"/>
      <c r="D682" s="13"/>
      <c r="E682" s="1"/>
      <c r="F682" s="1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3"/>
      <c r="D683" s="13"/>
      <c r="E683" s="1"/>
      <c r="F683" s="1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3"/>
      <c r="D684" s="13"/>
      <c r="E684" s="1"/>
      <c r="F684" s="1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3"/>
      <c r="D685" s="13"/>
      <c r="E685" s="1"/>
      <c r="F685" s="1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3"/>
      <c r="D686" s="13"/>
      <c r="E686" s="1"/>
      <c r="F686" s="1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3"/>
      <c r="D687" s="13"/>
      <c r="E687" s="1"/>
      <c r="F687" s="1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3"/>
      <c r="D688" s="13"/>
      <c r="E688" s="1"/>
      <c r="F688" s="1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3"/>
      <c r="D689" s="13"/>
      <c r="E689" s="1"/>
      <c r="F689" s="1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3"/>
      <c r="D690" s="13"/>
      <c r="E690" s="1"/>
      <c r="F690" s="1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3"/>
      <c r="D691" s="13"/>
      <c r="E691" s="1"/>
      <c r="F691" s="1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3"/>
      <c r="D692" s="13"/>
      <c r="E692" s="1"/>
      <c r="F692" s="1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3"/>
      <c r="D693" s="13"/>
      <c r="E693" s="1"/>
      <c r="F693" s="1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3"/>
      <c r="D694" s="13"/>
      <c r="E694" s="1"/>
      <c r="F694" s="1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3"/>
      <c r="D695" s="13"/>
      <c r="E695" s="1"/>
      <c r="F695" s="1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3"/>
      <c r="D696" s="13"/>
      <c r="E696" s="1"/>
      <c r="F696" s="1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3"/>
      <c r="D697" s="13"/>
      <c r="E697" s="1"/>
      <c r="F697" s="1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3"/>
      <c r="D698" s="13"/>
      <c r="E698" s="1"/>
      <c r="F698" s="1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3"/>
      <c r="D699" s="13"/>
      <c r="E699" s="1"/>
      <c r="F699" s="1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3"/>
      <c r="D700" s="13"/>
      <c r="E700" s="1"/>
      <c r="F700" s="1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3"/>
      <c r="D701" s="13"/>
      <c r="E701" s="1"/>
      <c r="F701" s="1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3"/>
      <c r="D702" s="13"/>
      <c r="E702" s="1"/>
      <c r="F702" s="1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3"/>
      <c r="D703" s="13"/>
      <c r="E703" s="1"/>
      <c r="F703" s="1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3"/>
      <c r="D704" s="13"/>
      <c r="E704" s="1"/>
      <c r="F704" s="1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3"/>
      <c r="D705" s="13"/>
      <c r="E705" s="1"/>
      <c r="F705" s="1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3"/>
      <c r="D706" s="13"/>
      <c r="E706" s="1"/>
      <c r="F706" s="1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3"/>
      <c r="D707" s="13"/>
      <c r="E707" s="1"/>
      <c r="F707" s="1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3"/>
      <c r="D708" s="13"/>
      <c r="E708" s="1"/>
      <c r="F708" s="1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3"/>
      <c r="D709" s="13"/>
      <c r="E709" s="1"/>
      <c r="F709" s="1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3"/>
      <c r="D710" s="13"/>
      <c r="E710" s="1"/>
      <c r="F710" s="1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3"/>
      <c r="D711" s="13"/>
      <c r="E711" s="1"/>
      <c r="F711" s="1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3"/>
      <c r="D712" s="13"/>
      <c r="E712" s="1"/>
      <c r="F712" s="1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3"/>
      <c r="D713" s="13"/>
      <c r="E713" s="1"/>
      <c r="F713" s="1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3"/>
      <c r="D714" s="13"/>
      <c r="E714" s="1"/>
      <c r="F714" s="1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3"/>
      <c r="D715" s="13"/>
      <c r="E715" s="1"/>
      <c r="F715" s="1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3"/>
      <c r="D716" s="13"/>
      <c r="E716" s="1"/>
      <c r="F716" s="1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3"/>
      <c r="D717" s="13"/>
      <c r="E717" s="1"/>
      <c r="F717" s="1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3"/>
      <c r="D718" s="13"/>
      <c r="E718" s="1"/>
      <c r="F718" s="1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3"/>
      <c r="D719" s="13"/>
      <c r="E719" s="1"/>
      <c r="F719" s="1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3"/>
      <c r="D720" s="13"/>
      <c r="E720" s="1"/>
      <c r="F720" s="1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3"/>
      <c r="D721" s="13"/>
      <c r="E721" s="1"/>
      <c r="F721" s="1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3"/>
      <c r="D722" s="13"/>
      <c r="E722" s="1"/>
      <c r="F722" s="1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3"/>
      <c r="D723" s="13"/>
      <c r="E723" s="1"/>
      <c r="F723" s="1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3"/>
      <c r="D724" s="13"/>
      <c r="E724" s="1"/>
      <c r="F724" s="1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3"/>
      <c r="D725" s="13"/>
      <c r="E725" s="1"/>
      <c r="F725" s="1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3"/>
      <c r="D726" s="13"/>
      <c r="E726" s="1"/>
      <c r="F726" s="1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3"/>
      <c r="D727" s="13"/>
      <c r="E727" s="1"/>
      <c r="F727" s="1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3"/>
      <c r="D728" s="13"/>
      <c r="E728" s="1"/>
      <c r="F728" s="1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3"/>
      <c r="D729" s="13"/>
      <c r="E729" s="1"/>
      <c r="F729" s="1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3"/>
      <c r="D730" s="13"/>
      <c r="E730" s="1"/>
      <c r="F730" s="1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3"/>
      <c r="D731" s="13"/>
      <c r="E731" s="1"/>
      <c r="F731" s="1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3"/>
      <c r="D732" s="13"/>
      <c r="E732" s="1"/>
      <c r="F732" s="1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3"/>
      <c r="D733" s="13"/>
      <c r="E733" s="1"/>
      <c r="F733" s="1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3"/>
      <c r="D734" s="13"/>
      <c r="E734" s="1"/>
      <c r="F734" s="1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3"/>
      <c r="D735" s="13"/>
      <c r="E735" s="1"/>
      <c r="F735" s="1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3"/>
      <c r="D736" s="13"/>
      <c r="E736" s="1"/>
      <c r="F736" s="1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3"/>
      <c r="D737" s="13"/>
      <c r="E737" s="1"/>
      <c r="F737" s="1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3"/>
      <c r="D738" s="13"/>
      <c r="E738" s="1"/>
      <c r="F738" s="1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3"/>
      <c r="D739" s="13"/>
      <c r="E739" s="1"/>
      <c r="F739" s="1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3"/>
      <c r="D740" s="13"/>
      <c r="E740" s="1"/>
      <c r="F740" s="1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3"/>
      <c r="D741" s="13"/>
      <c r="E741" s="1"/>
      <c r="F741" s="1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3"/>
      <c r="D742" s="13"/>
      <c r="E742" s="1"/>
      <c r="F742" s="1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3"/>
      <c r="D743" s="13"/>
      <c r="E743" s="1"/>
      <c r="F743" s="1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3"/>
      <c r="D744" s="13"/>
      <c r="E744" s="1"/>
      <c r="F744" s="1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3"/>
      <c r="D745" s="13"/>
      <c r="E745" s="1"/>
      <c r="F745" s="1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3"/>
      <c r="D746" s="13"/>
      <c r="E746" s="1"/>
      <c r="F746" s="1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3"/>
      <c r="D747" s="13"/>
      <c r="E747" s="1"/>
      <c r="F747" s="1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3"/>
      <c r="D748" s="13"/>
      <c r="E748" s="1"/>
      <c r="F748" s="1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3"/>
      <c r="D749" s="13"/>
      <c r="E749" s="1"/>
      <c r="F749" s="1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3"/>
      <c r="D750" s="13"/>
      <c r="E750" s="1"/>
      <c r="F750" s="1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3"/>
      <c r="D751" s="13"/>
      <c r="E751" s="1"/>
      <c r="F751" s="1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3"/>
      <c r="D752" s="13"/>
      <c r="E752" s="1"/>
      <c r="F752" s="1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3"/>
      <c r="D753" s="13"/>
      <c r="E753" s="1"/>
      <c r="F753" s="1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3"/>
      <c r="D754" s="13"/>
      <c r="E754" s="1"/>
      <c r="F754" s="1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3"/>
      <c r="D755" s="13"/>
      <c r="E755" s="1"/>
      <c r="F755" s="1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3"/>
      <c r="D756" s="13"/>
      <c r="E756" s="1"/>
      <c r="F756" s="1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3"/>
      <c r="D757" s="13"/>
      <c r="E757" s="1"/>
      <c r="F757" s="1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3"/>
      <c r="D758" s="13"/>
      <c r="E758" s="1"/>
      <c r="F758" s="1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3"/>
      <c r="D759" s="13"/>
      <c r="E759" s="1"/>
      <c r="F759" s="1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3"/>
      <c r="D760" s="13"/>
      <c r="E760" s="1"/>
      <c r="F760" s="1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3"/>
      <c r="D761" s="13"/>
      <c r="E761" s="1"/>
      <c r="F761" s="1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3"/>
      <c r="D762" s="13"/>
      <c r="E762" s="1"/>
      <c r="F762" s="1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3"/>
      <c r="D763" s="13"/>
      <c r="E763" s="1"/>
      <c r="F763" s="1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3"/>
      <c r="D764" s="13"/>
      <c r="E764" s="1"/>
      <c r="F764" s="1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3"/>
      <c r="D765" s="13"/>
      <c r="E765" s="1"/>
      <c r="F765" s="1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3"/>
      <c r="D766" s="13"/>
      <c r="E766" s="1"/>
      <c r="F766" s="1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3"/>
      <c r="D767" s="13"/>
      <c r="E767" s="1"/>
      <c r="F767" s="1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3"/>
      <c r="D768" s="13"/>
      <c r="E768" s="1"/>
      <c r="F768" s="1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3"/>
      <c r="D769" s="13"/>
      <c r="E769" s="1"/>
      <c r="F769" s="1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3"/>
      <c r="D770" s="13"/>
      <c r="E770" s="1"/>
      <c r="F770" s="1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3"/>
      <c r="D771" s="13"/>
      <c r="E771" s="1"/>
      <c r="F771" s="1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3"/>
      <c r="D772" s="13"/>
      <c r="E772" s="1"/>
      <c r="F772" s="1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3"/>
      <c r="D773" s="13"/>
      <c r="E773" s="1"/>
      <c r="F773" s="1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3"/>
      <c r="D774" s="13"/>
      <c r="E774" s="1"/>
      <c r="F774" s="1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3"/>
      <c r="D775" s="13"/>
      <c r="E775" s="1"/>
      <c r="F775" s="1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3"/>
      <c r="D776" s="13"/>
      <c r="E776" s="1"/>
      <c r="F776" s="1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3"/>
      <c r="D777" s="13"/>
      <c r="E777" s="1"/>
      <c r="F777" s="1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3"/>
      <c r="D778" s="13"/>
      <c r="E778" s="1"/>
      <c r="F778" s="1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3"/>
      <c r="D779" s="13"/>
      <c r="E779" s="1"/>
      <c r="F779" s="1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3"/>
      <c r="D780" s="13"/>
      <c r="E780" s="1"/>
      <c r="F780" s="1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3"/>
      <c r="D781" s="13"/>
      <c r="E781" s="1"/>
      <c r="F781" s="1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3"/>
      <c r="D782" s="13"/>
      <c r="E782" s="1"/>
      <c r="F782" s="1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3"/>
      <c r="D783" s="13"/>
      <c r="E783" s="1"/>
      <c r="F783" s="1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3"/>
      <c r="D784" s="13"/>
      <c r="E784" s="1"/>
      <c r="F784" s="1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3"/>
      <c r="D785" s="13"/>
      <c r="E785" s="1"/>
      <c r="F785" s="1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3"/>
      <c r="D786" s="13"/>
      <c r="E786" s="1"/>
      <c r="F786" s="1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3"/>
      <c r="D787" s="13"/>
      <c r="E787" s="1"/>
      <c r="F787" s="1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3"/>
      <c r="D788" s="13"/>
      <c r="E788" s="1"/>
      <c r="F788" s="1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3"/>
      <c r="D789" s="13"/>
      <c r="E789" s="1"/>
      <c r="F789" s="1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3"/>
      <c r="D790" s="13"/>
      <c r="E790" s="1"/>
      <c r="F790" s="1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3"/>
      <c r="D791" s="13"/>
      <c r="E791" s="1"/>
      <c r="F791" s="1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3"/>
      <c r="D792" s="13"/>
      <c r="E792" s="1"/>
      <c r="F792" s="1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3"/>
      <c r="D793" s="13"/>
      <c r="E793" s="1"/>
      <c r="F793" s="1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3"/>
      <c r="D794" s="13"/>
      <c r="E794" s="1"/>
      <c r="F794" s="1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3"/>
      <c r="D795" s="13"/>
      <c r="E795" s="1"/>
      <c r="F795" s="1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3"/>
      <c r="D796" s="13"/>
      <c r="E796" s="1"/>
      <c r="F796" s="1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3"/>
      <c r="D797" s="13"/>
      <c r="E797" s="1"/>
      <c r="F797" s="1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3"/>
      <c r="D798" s="13"/>
      <c r="E798" s="1"/>
      <c r="F798" s="1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3"/>
      <c r="D799" s="13"/>
      <c r="E799" s="1"/>
      <c r="F799" s="1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3"/>
      <c r="D800" s="13"/>
      <c r="E800" s="1"/>
      <c r="F800" s="1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3"/>
      <c r="D801" s="13"/>
      <c r="E801" s="1"/>
      <c r="F801" s="1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3"/>
      <c r="D802" s="13"/>
      <c r="E802" s="1"/>
      <c r="F802" s="1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3"/>
      <c r="D803" s="13"/>
      <c r="E803" s="1"/>
      <c r="F803" s="1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3"/>
      <c r="D804" s="13"/>
      <c r="E804" s="1"/>
      <c r="F804" s="1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3"/>
      <c r="D805" s="13"/>
      <c r="E805" s="1"/>
      <c r="F805" s="1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3"/>
      <c r="D806" s="13"/>
      <c r="E806" s="1"/>
      <c r="F806" s="1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3"/>
      <c r="D807" s="13"/>
      <c r="E807" s="1"/>
      <c r="F807" s="1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3"/>
      <c r="D808" s="13"/>
      <c r="E808" s="1"/>
      <c r="F808" s="1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3"/>
      <c r="D809" s="13"/>
      <c r="E809" s="1"/>
      <c r="F809" s="1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3"/>
      <c r="D810" s="13"/>
      <c r="E810" s="1"/>
      <c r="F810" s="1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3"/>
      <c r="D811" s="13"/>
      <c r="E811" s="1"/>
      <c r="F811" s="1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3"/>
      <c r="D812" s="13"/>
      <c r="E812" s="1"/>
      <c r="F812" s="1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3"/>
      <c r="D813" s="13"/>
      <c r="E813" s="1"/>
      <c r="F813" s="1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3"/>
      <c r="D814" s="13"/>
      <c r="E814" s="1"/>
      <c r="F814" s="1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3"/>
      <c r="D815" s="13"/>
      <c r="E815" s="1"/>
      <c r="F815" s="1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3"/>
      <c r="D816" s="13"/>
      <c r="E816" s="1"/>
      <c r="F816" s="1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3"/>
      <c r="D817" s="13"/>
      <c r="E817" s="1"/>
      <c r="F817" s="1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3"/>
      <c r="D818" s="13"/>
      <c r="E818" s="1"/>
      <c r="F818" s="1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3"/>
      <c r="D819" s="13"/>
      <c r="E819" s="1"/>
      <c r="F819" s="1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3"/>
      <c r="D820" s="13"/>
      <c r="E820" s="1"/>
      <c r="F820" s="1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3"/>
      <c r="D821" s="13"/>
      <c r="E821" s="1"/>
      <c r="F821" s="1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3"/>
      <c r="D822" s="13"/>
      <c r="E822" s="1"/>
      <c r="F822" s="1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3"/>
      <c r="D823" s="13"/>
      <c r="E823" s="1"/>
      <c r="F823" s="1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3"/>
      <c r="D824" s="13"/>
      <c r="E824" s="1"/>
      <c r="F824" s="1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3"/>
      <c r="D825" s="13"/>
      <c r="E825" s="1"/>
      <c r="F825" s="1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3"/>
      <c r="D826" s="13"/>
      <c r="E826" s="1"/>
      <c r="F826" s="1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3"/>
      <c r="D827" s="13"/>
      <c r="E827" s="1"/>
      <c r="F827" s="1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3"/>
      <c r="D828" s="13"/>
      <c r="E828" s="1"/>
      <c r="F828" s="1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3"/>
      <c r="D829" s="13"/>
      <c r="E829" s="1"/>
      <c r="F829" s="1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3"/>
      <c r="D830" s="13"/>
      <c r="E830" s="1"/>
      <c r="F830" s="1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3"/>
      <c r="D831" s="13"/>
      <c r="E831" s="1"/>
      <c r="F831" s="1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3"/>
      <c r="D832" s="13"/>
      <c r="E832" s="1"/>
      <c r="F832" s="1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3"/>
      <c r="D833" s="13"/>
      <c r="E833" s="1"/>
      <c r="F833" s="1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3"/>
      <c r="D834" s="13"/>
      <c r="E834" s="1"/>
      <c r="F834" s="1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3"/>
      <c r="D835" s="13"/>
      <c r="E835" s="1"/>
      <c r="F835" s="1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3"/>
      <c r="D836" s="13"/>
      <c r="E836" s="1"/>
      <c r="F836" s="1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3"/>
      <c r="D837" s="13"/>
      <c r="E837" s="1"/>
      <c r="F837" s="1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3"/>
      <c r="D838" s="13"/>
      <c r="E838" s="1"/>
      <c r="F838" s="1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3"/>
      <c r="D839" s="13"/>
      <c r="E839" s="1"/>
      <c r="F839" s="1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3"/>
      <c r="D840" s="13"/>
      <c r="E840" s="1"/>
      <c r="F840" s="1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3"/>
      <c r="D841" s="13"/>
      <c r="E841" s="1"/>
      <c r="F841" s="1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3"/>
      <c r="D842" s="13"/>
      <c r="E842" s="1"/>
      <c r="F842" s="1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3"/>
      <c r="D843" s="13"/>
      <c r="E843" s="1"/>
      <c r="F843" s="1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3"/>
      <c r="D844" s="13"/>
      <c r="E844" s="1"/>
      <c r="F844" s="1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3"/>
      <c r="D845" s="13"/>
      <c r="E845" s="1"/>
      <c r="F845" s="1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3"/>
      <c r="D846" s="13"/>
      <c r="E846" s="1"/>
      <c r="F846" s="1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3"/>
      <c r="D847" s="13"/>
      <c r="E847" s="1"/>
      <c r="F847" s="1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3"/>
      <c r="D848" s="13"/>
      <c r="E848" s="1"/>
      <c r="F848" s="1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3"/>
      <c r="D849" s="13"/>
      <c r="E849" s="1"/>
      <c r="F849" s="1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3"/>
      <c r="D850" s="13"/>
      <c r="E850" s="1"/>
      <c r="F850" s="1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3"/>
      <c r="D851" s="13"/>
      <c r="E851" s="1"/>
      <c r="F851" s="1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3"/>
      <c r="D852" s="13"/>
      <c r="E852" s="1"/>
      <c r="F852" s="1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3"/>
      <c r="D853" s="13"/>
      <c r="E853" s="1"/>
      <c r="F853" s="1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3"/>
      <c r="D854" s="13"/>
      <c r="E854" s="1"/>
      <c r="F854" s="1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3"/>
      <c r="D855" s="13"/>
      <c r="E855" s="1"/>
      <c r="F855" s="1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3"/>
      <c r="D856" s="13"/>
      <c r="E856" s="1"/>
      <c r="F856" s="1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3"/>
      <c r="D857" s="13"/>
      <c r="E857" s="1"/>
      <c r="F857" s="1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3"/>
      <c r="D858" s="13"/>
      <c r="E858" s="1"/>
      <c r="F858" s="1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3"/>
      <c r="D859" s="13"/>
      <c r="E859" s="1"/>
      <c r="F859" s="1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3"/>
      <c r="D860" s="13"/>
      <c r="E860" s="1"/>
      <c r="F860" s="1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3"/>
      <c r="D861" s="13"/>
      <c r="E861" s="1"/>
      <c r="F861" s="1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3"/>
      <c r="D862" s="13"/>
      <c r="E862" s="1"/>
      <c r="F862" s="1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3"/>
      <c r="D863" s="13"/>
      <c r="E863" s="1"/>
      <c r="F863" s="1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3"/>
      <c r="D864" s="13"/>
      <c r="E864" s="1"/>
      <c r="F864" s="1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3"/>
      <c r="D865" s="13"/>
      <c r="E865" s="1"/>
      <c r="F865" s="1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3"/>
      <c r="D866" s="13"/>
      <c r="E866" s="1"/>
      <c r="F866" s="1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3"/>
      <c r="D867" s="13"/>
      <c r="E867" s="1"/>
      <c r="F867" s="1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3"/>
      <c r="D868" s="13"/>
      <c r="E868" s="1"/>
      <c r="F868" s="1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3"/>
      <c r="D869" s="13"/>
      <c r="E869" s="1"/>
      <c r="F869" s="1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3"/>
      <c r="D870" s="13"/>
      <c r="E870" s="1"/>
      <c r="F870" s="1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3"/>
      <c r="D871" s="13"/>
      <c r="E871" s="1"/>
      <c r="F871" s="1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3"/>
      <c r="D872" s="13"/>
      <c r="E872" s="1"/>
      <c r="F872" s="1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3"/>
      <c r="D873" s="13"/>
      <c r="E873" s="1"/>
      <c r="F873" s="1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3"/>
      <c r="D874" s="13"/>
      <c r="E874" s="1"/>
      <c r="F874" s="1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3"/>
      <c r="D875" s="13"/>
      <c r="E875" s="1"/>
      <c r="F875" s="1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3"/>
      <c r="D876" s="13"/>
      <c r="E876" s="1"/>
      <c r="F876" s="1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3"/>
      <c r="D877" s="13"/>
      <c r="E877" s="1"/>
      <c r="F877" s="1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3"/>
      <c r="D878" s="13"/>
      <c r="E878" s="1"/>
      <c r="F878" s="1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3"/>
      <c r="D879" s="13"/>
      <c r="E879" s="1"/>
      <c r="F879" s="1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3"/>
      <c r="D880" s="13"/>
      <c r="E880" s="1"/>
      <c r="F880" s="1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3"/>
      <c r="D881" s="13"/>
      <c r="E881" s="1"/>
      <c r="F881" s="1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3"/>
      <c r="D882" s="13"/>
      <c r="E882" s="1"/>
      <c r="F882" s="1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3"/>
      <c r="D883" s="13"/>
      <c r="E883" s="1"/>
      <c r="F883" s="1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3"/>
      <c r="D884" s="13"/>
      <c r="E884" s="1"/>
      <c r="F884" s="1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3"/>
      <c r="D885" s="13"/>
      <c r="E885" s="1"/>
      <c r="F885" s="1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3"/>
      <c r="D886" s="13"/>
      <c r="E886" s="1"/>
      <c r="F886" s="1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3"/>
      <c r="D887" s="13"/>
      <c r="E887" s="1"/>
      <c r="F887" s="1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3"/>
      <c r="D888" s="13"/>
      <c r="E888" s="1"/>
      <c r="F888" s="1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3"/>
      <c r="D889" s="13"/>
      <c r="E889" s="1"/>
      <c r="F889" s="1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3"/>
      <c r="D890" s="13"/>
      <c r="E890" s="1"/>
      <c r="F890" s="1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3"/>
      <c r="D891" s="13"/>
      <c r="E891" s="1"/>
      <c r="F891" s="1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3"/>
      <c r="D892" s="13"/>
      <c r="E892" s="1"/>
      <c r="F892" s="1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3"/>
      <c r="D893" s="13"/>
      <c r="E893" s="1"/>
      <c r="F893" s="1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3"/>
      <c r="D894" s="13"/>
      <c r="E894" s="1"/>
      <c r="F894" s="1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3"/>
      <c r="D895" s="13"/>
      <c r="E895" s="1"/>
      <c r="F895" s="1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3"/>
      <c r="D896" s="13"/>
      <c r="E896" s="1"/>
      <c r="F896" s="1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3"/>
      <c r="D897" s="13"/>
      <c r="E897" s="1"/>
      <c r="F897" s="1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3"/>
      <c r="D898" s="13"/>
      <c r="E898" s="1"/>
      <c r="F898" s="1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3"/>
      <c r="D899" s="13"/>
      <c r="E899" s="1"/>
      <c r="F899" s="1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3"/>
      <c r="D900" s="13"/>
      <c r="E900" s="1"/>
      <c r="F900" s="1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3"/>
      <c r="D901" s="13"/>
      <c r="E901" s="1"/>
      <c r="F901" s="1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3"/>
      <c r="D902" s="13"/>
      <c r="E902" s="1"/>
      <c r="F902" s="1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3"/>
      <c r="D903" s="13"/>
      <c r="E903" s="1"/>
      <c r="F903" s="1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3"/>
      <c r="D904" s="13"/>
      <c r="E904" s="1"/>
      <c r="F904" s="1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3"/>
      <c r="D905" s="13"/>
      <c r="E905" s="1"/>
      <c r="F905" s="1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3"/>
      <c r="D906" s="13"/>
      <c r="E906" s="1"/>
      <c r="F906" s="1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3"/>
      <c r="D907" s="13"/>
      <c r="E907" s="1"/>
      <c r="F907" s="1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3"/>
      <c r="D908" s="13"/>
      <c r="E908" s="1"/>
      <c r="F908" s="1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3"/>
      <c r="D909" s="13"/>
      <c r="E909" s="1"/>
      <c r="F909" s="1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3"/>
      <c r="D910" s="13"/>
      <c r="E910" s="1"/>
      <c r="F910" s="1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3"/>
      <c r="D911" s="13"/>
      <c r="E911" s="1"/>
      <c r="F911" s="1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3"/>
      <c r="D912" s="13"/>
      <c r="E912" s="1"/>
      <c r="F912" s="1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3"/>
      <c r="D913" s="13"/>
      <c r="E913" s="1"/>
      <c r="F913" s="1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3"/>
      <c r="D914" s="13"/>
      <c r="E914" s="1"/>
      <c r="F914" s="1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3"/>
      <c r="D915" s="13"/>
      <c r="E915" s="1"/>
      <c r="F915" s="1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3"/>
      <c r="D916" s="13"/>
      <c r="E916" s="1"/>
      <c r="F916" s="1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3"/>
      <c r="D917" s="13"/>
      <c r="E917" s="1"/>
      <c r="F917" s="1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3"/>
      <c r="D918" s="13"/>
      <c r="E918" s="1"/>
      <c r="F918" s="1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3"/>
      <c r="D919" s="13"/>
      <c r="E919" s="1"/>
      <c r="F919" s="1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3"/>
      <c r="D920" s="13"/>
      <c r="E920" s="1"/>
      <c r="F920" s="1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3"/>
      <c r="D921" s="13"/>
      <c r="E921" s="1"/>
      <c r="F921" s="1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3"/>
      <c r="D922" s="13"/>
      <c r="E922" s="1"/>
      <c r="F922" s="1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3"/>
      <c r="D923" s="13"/>
      <c r="E923" s="1"/>
      <c r="F923" s="1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3"/>
      <c r="D924" s="13"/>
      <c r="E924" s="1"/>
      <c r="F924" s="1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3"/>
      <c r="D925" s="13"/>
      <c r="E925" s="1"/>
      <c r="F925" s="1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3"/>
      <c r="D926" s="13"/>
      <c r="E926" s="1"/>
      <c r="F926" s="1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3"/>
      <c r="D927" s="13"/>
      <c r="E927" s="1"/>
      <c r="F927" s="1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3"/>
      <c r="D928" s="13"/>
      <c r="E928" s="1"/>
      <c r="F928" s="1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3"/>
      <c r="D929" s="13"/>
      <c r="E929" s="1"/>
      <c r="F929" s="1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3"/>
      <c r="D930" s="13"/>
      <c r="E930" s="1"/>
      <c r="F930" s="1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3"/>
      <c r="D931" s="13"/>
      <c r="E931" s="1"/>
      <c r="F931" s="1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3"/>
      <c r="D932" s="13"/>
      <c r="E932" s="1"/>
      <c r="F932" s="1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3"/>
      <c r="D933" s="13"/>
      <c r="E933" s="1"/>
      <c r="F933" s="1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3"/>
      <c r="D934" s="13"/>
      <c r="E934" s="1"/>
      <c r="F934" s="1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3"/>
      <c r="D935" s="13"/>
      <c r="E935" s="1"/>
      <c r="F935" s="1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3"/>
      <c r="D936" s="13"/>
      <c r="E936" s="1"/>
      <c r="F936" s="1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3"/>
      <c r="D937" s="13"/>
      <c r="E937" s="1"/>
      <c r="F937" s="1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3"/>
      <c r="D938" s="13"/>
      <c r="E938" s="1"/>
      <c r="F938" s="1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3"/>
      <c r="D939" s="13"/>
      <c r="E939" s="1"/>
      <c r="F939" s="1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3"/>
      <c r="D940" s="13"/>
      <c r="E940" s="1"/>
      <c r="F940" s="1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3"/>
      <c r="D941" s="13"/>
      <c r="E941" s="1"/>
      <c r="F941" s="1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3"/>
      <c r="D942" s="13"/>
      <c r="E942" s="1"/>
      <c r="F942" s="1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3"/>
      <c r="D943" s="13"/>
      <c r="E943" s="1"/>
      <c r="F943" s="1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3"/>
      <c r="D944" s="13"/>
      <c r="E944" s="1"/>
      <c r="F944" s="1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3"/>
      <c r="D945" s="13"/>
      <c r="E945" s="1"/>
      <c r="F945" s="1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3"/>
      <c r="D946" s="13"/>
      <c r="E946" s="1"/>
      <c r="F946" s="1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3"/>
      <c r="D947" s="13"/>
      <c r="E947" s="1"/>
      <c r="F947" s="1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3"/>
      <c r="D948" s="13"/>
      <c r="E948" s="1"/>
      <c r="F948" s="1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3"/>
      <c r="D949" s="13"/>
      <c r="E949" s="1"/>
      <c r="F949" s="1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3"/>
      <c r="D950" s="13"/>
      <c r="E950" s="1"/>
      <c r="F950" s="1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3"/>
      <c r="D951" s="13"/>
      <c r="E951" s="1"/>
      <c r="F951" s="1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3"/>
      <c r="D952" s="13"/>
      <c r="E952" s="1"/>
      <c r="F952" s="1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3"/>
      <c r="D953" s="13"/>
      <c r="E953" s="1"/>
      <c r="F953" s="1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3"/>
      <c r="D954" s="13"/>
      <c r="E954" s="1"/>
      <c r="F954" s="1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3"/>
      <c r="D955" s="13"/>
      <c r="E955" s="1"/>
      <c r="F955" s="1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3"/>
      <c r="D956" s="13"/>
      <c r="E956" s="1"/>
      <c r="F956" s="1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3"/>
      <c r="D957" s="13"/>
      <c r="E957" s="1"/>
      <c r="F957" s="1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3"/>
      <c r="D958" s="13"/>
      <c r="E958" s="1"/>
      <c r="F958" s="1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3"/>
      <c r="D959" s="13"/>
      <c r="E959" s="1"/>
      <c r="F959" s="1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3"/>
      <c r="D960" s="13"/>
      <c r="E960" s="1"/>
      <c r="F960" s="1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3"/>
      <c r="D961" s="13"/>
      <c r="E961" s="1"/>
      <c r="F961" s="1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3"/>
      <c r="D962" s="13"/>
      <c r="E962" s="1"/>
      <c r="F962" s="1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3"/>
      <c r="D963" s="13"/>
      <c r="E963" s="1"/>
      <c r="F963" s="1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3"/>
      <c r="D964" s="13"/>
      <c r="E964" s="1"/>
      <c r="F964" s="1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3"/>
      <c r="D965" s="13"/>
      <c r="E965" s="1"/>
      <c r="F965" s="1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3"/>
      <c r="D966" s="13"/>
      <c r="E966" s="1"/>
      <c r="F966" s="1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3"/>
      <c r="D967" s="13"/>
      <c r="E967" s="1"/>
      <c r="F967" s="1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3"/>
      <c r="D968" s="13"/>
      <c r="E968" s="1"/>
      <c r="F968" s="1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3"/>
      <c r="D969" s="13"/>
      <c r="E969" s="1"/>
      <c r="F969" s="1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3"/>
      <c r="D970" s="13"/>
      <c r="E970" s="1"/>
      <c r="F970" s="1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3"/>
      <c r="D971" s="13"/>
      <c r="E971" s="1"/>
      <c r="F971" s="1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3"/>
      <c r="D972" s="13"/>
      <c r="E972" s="1"/>
      <c r="F972" s="1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3"/>
      <c r="D973" s="13"/>
      <c r="E973" s="1"/>
      <c r="F973" s="1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3"/>
      <c r="D974" s="13"/>
      <c r="E974" s="1"/>
      <c r="F974" s="1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3"/>
      <c r="D975" s="13"/>
      <c r="E975" s="1"/>
      <c r="F975" s="1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3"/>
      <c r="D976" s="13"/>
      <c r="E976" s="1"/>
      <c r="F976" s="1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3"/>
      <c r="D977" s="13"/>
      <c r="E977" s="1"/>
      <c r="F977" s="1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3"/>
      <c r="D978" s="13"/>
      <c r="E978" s="1"/>
      <c r="F978" s="1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3"/>
      <c r="D979" s="13"/>
      <c r="E979" s="1"/>
      <c r="F979" s="1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3"/>
      <c r="D980" s="13"/>
      <c r="E980" s="1"/>
      <c r="F980" s="1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3"/>
      <c r="D981" s="13"/>
      <c r="E981" s="1"/>
      <c r="F981" s="1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3"/>
      <c r="D982" s="13"/>
      <c r="E982" s="1"/>
      <c r="F982" s="1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3"/>
      <c r="D983" s="13"/>
      <c r="E983" s="1"/>
      <c r="F983" s="1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3"/>
      <c r="D984" s="13"/>
      <c r="E984" s="1"/>
      <c r="F984" s="1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3"/>
      <c r="D985" s="13"/>
      <c r="E985" s="1"/>
      <c r="F985" s="1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3"/>
      <c r="D986" s="13"/>
      <c r="E986" s="1"/>
      <c r="F986" s="1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3"/>
      <c r="D987" s="13"/>
      <c r="E987" s="1"/>
      <c r="F987" s="1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3"/>
      <c r="D988" s="13"/>
      <c r="E988" s="1"/>
      <c r="F988" s="1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3"/>
      <c r="D989" s="13"/>
      <c r="E989" s="1"/>
      <c r="F989" s="1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3"/>
      <c r="D990" s="13"/>
      <c r="E990" s="1"/>
      <c r="F990" s="1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3"/>
      <c r="D991" s="13"/>
      <c r="E991" s="1"/>
      <c r="F991" s="1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3"/>
      <c r="D992" s="13"/>
      <c r="E992" s="1"/>
      <c r="F992" s="1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3"/>
      <c r="D993" s="13"/>
      <c r="E993" s="1"/>
      <c r="F993" s="1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3"/>
      <c r="D994" s="13"/>
      <c r="E994" s="1"/>
      <c r="F994" s="1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3"/>
      <c r="D995" s="13"/>
      <c r="E995" s="1"/>
      <c r="F995" s="1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3"/>
      <c r="D996" s="13"/>
      <c r="E996" s="1"/>
      <c r="F996" s="1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3"/>
      <c r="D997" s="13"/>
      <c r="E997" s="1"/>
      <c r="F997" s="1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3"/>
      <c r="D998" s="13"/>
      <c r="E998" s="1"/>
      <c r="F998" s="1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3"/>
      <c r="D999" s="13"/>
      <c r="E999" s="1"/>
      <c r="F999" s="1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3"/>
      <c r="D1000" s="13"/>
      <c r="E1000" s="1"/>
      <c r="F1000" s="1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2:$P$12"/>
  <mergeCells count="61">
    <mergeCell ref="C93:D93"/>
    <mergeCell ref="B94:D94"/>
    <mergeCell ref="O97:P97"/>
    <mergeCell ref="N98:P98"/>
    <mergeCell ref="C106:D106"/>
    <mergeCell ref="F106:G106"/>
    <mergeCell ref="E107:G107"/>
    <mergeCell ref="I107:J107"/>
    <mergeCell ref="H108:J108"/>
    <mergeCell ref="L111:M111"/>
    <mergeCell ref="K112:M112"/>
    <mergeCell ref="O114:P114"/>
    <mergeCell ref="N115:P115"/>
    <mergeCell ref="F122:G122"/>
    <mergeCell ref="B2:O2"/>
    <mergeCell ref="B9:E9"/>
    <mergeCell ref="B10:E10"/>
    <mergeCell ref="B11:D11"/>
    <mergeCell ref="H11:J11"/>
    <mergeCell ref="K11:M11"/>
    <mergeCell ref="N11:P11"/>
    <mergeCell ref="E11:G11"/>
    <mergeCell ref="F23:G23"/>
    <mergeCell ref="E24:G24"/>
    <mergeCell ref="L26:M26"/>
    <mergeCell ref="I27:J27"/>
    <mergeCell ref="K27:M27"/>
    <mergeCell ref="H28:J28"/>
    <mergeCell ref="I39:J39"/>
    <mergeCell ref="H40:J40"/>
    <mergeCell ref="L40:M40"/>
    <mergeCell ref="C41:D41"/>
    <mergeCell ref="K41:M41"/>
    <mergeCell ref="F43:G43"/>
    <mergeCell ref="E44:G44"/>
    <mergeCell ref="I57:J57"/>
    <mergeCell ref="C58:D58"/>
    <mergeCell ref="H58:J58"/>
    <mergeCell ref="O58:P58"/>
    <mergeCell ref="N59:P59"/>
    <mergeCell ref="C68:D68"/>
    <mergeCell ref="B69:D69"/>
    <mergeCell ref="L69:M69"/>
    <mergeCell ref="K70:M70"/>
    <mergeCell ref="F75:G75"/>
    <mergeCell ref="E76:G76"/>
    <mergeCell ref="O78:P78"/>
    <mergeCell ref="N79:P79"/>
    <mergeCell ref="C82:D82"/>
    <mergeCell ref="B83:D83"/>
    <mergeCell ref="I83:J83"/>
    <mergeCell ref="H84:J84"/>
    <mergeCell ref="L86:M86"/>
    <mergeCell ref="K87:M87"/>
    <mergeCell ref="F89:G89"/>
    <mergeCell ref="E90:G90"/>
    <mergeCell ref="L128:M128"/>
    <mergeCell ref="I131:J131"/>
    <mergeCell ref="O132:P132"/>
    <mergeCell ref="N133:P133"/>
    <mergeCell ref="O163:P163"/>
  </mergeCells>
  <dataValidations>
    <dataValidation type="list" allowBlank="1" showErrorMessage="1" sqref="F13:F22 L13:L25 I13:I26 I29:I38 L28:L39 C13:C40 F25:F42 I41:I56 C43:C57 O13:O57 C60:C67 L42:L68 F45:F74 O60:O77 C70:C81 I59:I82 L71:L85 F77:F88 C84:C92 O80:O96 C95:C105 F91:F105 I85:I106 L88:L110 O99:O113 F108:F121 L113:L127 I109:I130 O116:O131 O134:O162">
      <formula1>"NA,Sim,Não,Às vezes"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14"/>
    <col customWidth="1" min="2" max="2" width="37.43"/>
    <col customWidth="1" min="3" max="3" width="15.43"/>
    <col customWidth="1" min="4" max="4" width="19.0"/>
    <col customWidth="1" min="5" max="5" width="10.71"/>
    <col customWidth="1" min="6" max="6" width="14.0"/>
    <col customWidth="1" min="7" max="7" width="13.29"/>
    <col customWidth="1" min="8" max="8" width="27.86"/>
    <col customWidth="1" min="9" max="9" width="15.43"/>
    <col customWidth="1" min="10" max="10" width="13.57"/>
    <col customWidth="1" min="11" max="11" width="8.71"/>
    <col customWidth="1" min="12" max="12" width="9.14"/>
    <col customWidth="1" min="13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28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</row>
    <row r="3">
      <c r="C3" s="29"/>
      <c r="D3" s="30"/>
      <c r="F3" s="30"/>
      <c r="I3" s="29"/>
      <c r="J3" s="29"/>
      <c r="L3" s="29"/>
    </row>
    <row r="4">
      <c r="C4" s="29"/>
      <c r="D4" s="30"/>
      <c r="F4" s="30"/>
      <c r="I4" s="29"/>
      <c r="J4" s="29"/>
      <c r="L4" s="29"/>
    </row>
    <row r="5" ht="33.75" customHeight="1">
      <c r="A5" s="31"/>
      <c r="B5" s="32" t="s">
        <v>593</v>
      </c>
      <c r="C5" s="33">
        <f>((E31+K31+E41+K41+E51)/12)/6</f>
        <v>0.008928571429</v>
      </c>
      <c r="D5" s="30"/>
      <c r="E5" s="31"/>
      <c r="F5" s="30"/>
      <c r="G5" s="31"/>
      <c r="H5" s="31"/>
      <c r="I5" s="30"/>
      <c r="J5" s="30"/>
      <c r="K5" s="31"/>
      <c r="L5" s="30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>
      <c r="C6" s="13"/>
      <c r="D6" s="13"/>
      <c r="E6" s="34"/>
      <c r="F6" s="13"/>
      <c r="I6" s="29"/>
      <c r="J6" s="29"/>
      <c r="L6" s="29"/>
    </row>
    <row r="7" ht="18.75" customHeight="1">
      <c r="B7" s="35" t="s">
        <v>594</v>
      </c>
      <c r="C7" s="36"/>
      <c r="D7" s="13"/>
      <c r="E7" s="34"/>
      <c r="F7" s="13"/>
      <c r="I7" s="29"/>
      <c r="J7" s="29"/>
      <c r="L7" s="29"/>
    </row>
    <row r="8">
      <c r="B8" s="37" t="str">
        <f t="shared" ref="B8:B12" si="1">B17</f>
        <v>SOCIALIZAÇÃO</v>
      </c>
      <c r="C8" s="38">
        <f>E32</f>
        <v>0.05357142857</v>
      </c>
      <c r="D8" s="13"/>
      <c r="E8" s="34"/>
      <c r="F8" s="13"/>
      <c r="I8" s="29"/>
      <c r="J8" s="29"/>
      <c r="L8" s="29"/>
    </row>
    <row r="9">
      <c r="B9" s="37" t="str">
        <f t="shared" si="1"/>
        <v>LINGUAGEM</v>
      </c>
      <c r="C9" s="38">
        <f>K32</f>
        <v>0</v>
      </c>
      <c r="D9" s="13"/>
      <c r="E9" s="34"/>
      <c r="F9" s="13"/>
      <c r="I9" s="29"/>
      <c r="J9" s="29"/>
      <c r="L9" s="29"/>
    </row>
    <row r="10">
      <c r="B10" s="37" t="str">
        <f t="shared" si="1"/>
        <v>COGNIÇÃO</v>
      </c>
      <c r="C10" s="38">
        <f>E42</f>
        <v>0</v>
      </c>
      <c r="D10" s="13"/>
      <c r="E10" s="34"/>
      <c r="F10" s="13"/>
      <c r="I10" s="29"/>
      <c r="J10" s="29"/>
      <c r="L10" s="29"/>
    </row>
    <row r="11">
      <c r="B11" s="37" t="str">
        <f t="shared" si="1"/>
        <v>AUTOCUIDADOS</v>
      </c>
      <c r="C11" s="38">
        <f>K42</f>
        <v>0</v>
      </c>
      <c r="D11" s="13"/>
      <c r="E11" s="34"/>
      <c r="F11" s="13"/>
      <c r="I11" s="29"/>
      <c r="J11" s="29"/>
      <c r="L11" s="29"/>
    </row>
    <row r="12">
      <c r="B12" s="37" t="str">
        <f t="shared" si="1"/>
        <v>DESENVOLVIMENTO MOTOR</v>
      </c>
      <c r="C12" s="38">
        <f>E52</f>
        <v>0</v>
      </c>
      <c r="D12" s="13"/>
      <c r="E12" s="34"/>
      <c r="F12" s="13"/>
      <c r="I12" s="29"/>
      <c r="J12" s="29"/>
      <c r="L12" s="29"/>
    </row>
    <row r="13">
      <c r="C13" s="13"/>
      <c r="D13" s="13"/>
      <c r="E13" s="34"/>
      <c r="F13" s="13"/>
      <c r="I13" s="29"/>
      <c r="J13" s="29"/>
      <c r="L13" s="29"/>
    </row>
    <row r="14">
      <c r="B14" s="39" t="s">
        <v>595</v>
      </c>
      <c r="I14" s="29"/>
      <c r="J14" s="29"/>
      <c r="L14" s="29"/>
    </row>
    <row r="15" ht="18.75" customHeight="1">
      <c r="B15" s="40"/>
      <c r="C15" s="41" t="s">
        <v>596</v>
      </c>
      <c r="D15" s="42"/>
      <c r="E15" s="42"/>
      <c r="F15" s="42"/>
      <c r="G15" s="42"/>
      <c r="H15" s="36"/>
      <c r="I15" s="40"/>
      <c r="J15" s="29"/>
      <c r="L15" s="29"/>
    </row>
    <row r="16">
      <c r="A16" s="43"/>
      <c r="B16" s="44" t="s">
        <v>597</v>
      </c>
      <c r="C16" s="45" t="s">
        <v>598</v>
      </c>
      <c r="D16" s="45" t="s">
        <v>599</v>
      </c>
      <c r="E16" s="45" t="s">
        <v>600</v>
      </c>
      <c r="F16" s="45" t="s">
        <v>601</v>
      </c>
      <c r="G16" s="45" t="s">
        <v>602</v>
      </c>
      <c r="H16" s="45" t="s">
        <v>603</v>
      </c>
      <c r="I16" s="44" t="s">
        <v>604</v>
      </c>
      <c r="J16" s="43"/>
      <c r="K16" s="46"/>
      <c r="L16" s="47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</row>
    <row r="17">
      <c r="B17" s="48" t="str">
        <f>B24</f>
        <v>SOCIALIZAÇÃO</v>
      </c>
      <c r="C17" s="49">
        <f>F25</f>
        <v>0.05357142857</v>
      </c>
      <c r="D17" s="49">
        <f>F26</f>
        <v>0</v>
      </c>
      <c r="E17" s="49">
        <f>F27</f>
        <v>0</v>
      </c>
      <c r="F17" s="49">
        <f>F28</f>
        <v>0</v>
      </c>
      <c r="G17" s="49">
        <f>F29</f>
        <v>0</v>
      </c>
      <c r="H17" s="49">
        <f>F30</f>
        <v>0</v>
      </c>
      <c r="I17" s="49">
        <f>F31</f>
        <v>0.01807228916</v>
      </c>
      <c r="J17" s="29"/>
      <c r="L17" s="29"/>
    </row>
    <row r="18">
      <c r="B18" s="48" t="str">
        <f>H24</f>
        <v>LINGUAGEM</v>
      </c>
      <c r="C18" s="49">
        <f>L25</f>
        <v>0</v>
      </c>
      <c r="D18" s="49">
        <f>L26</f>
        <v>0</v>
      </c>
      <c r="E18" s="49">
        <f>L27</f>
        <v>0</v>
      </c>
      <c r="F18" s="49">
        <f>L28</f>
        <v>0</v>
      </c>
      <c r="G18" s="49">
        <f>L29</f>
        <v>0</v>
      </c>
      <c r="H18" s="49">
        <f>L30</f>
        <v>0</v>
      </c>
      <c r="I18" s="49">
        <f>L31</f>
        <v>0</v>
      </c>
      <c r="J18" s="29"/>
      <c r="L18" s="29"/>
    </row>
    <row r="19">
      <c r="B19" s="48" t="str">
        <f>B34</f>
        <v>COGNIÇÃO</v>
      </c>
      <c r="C19" s="49">
        <f>F35</f>
        <v>0</v>
      </c>
      <c r="D19" s="49">
        <f>F36</f>
        <v>0</v>
      </c>
      <c r="E19" s="49">
        <f>F37</f>
        <v>0</v>
      </c>
      <c r="F19" s="49">
        <f>F38</f>
        <v>0</v>
      </c>
      <c r="G19" s="49">
        <f>F39</f>
        <v>0</v>
      </c>
      <c r="H19" s="49">
        <f>F40</f>
        <v>0</v>
      </c>
      <c r="I19" s="49">
        <f>F41</f>
        <v>0</v>
      </c>
      <c r="J19" s="29"/>
      <c r="L19" s="29"/>
    </row>
    <row r="20">
      <c r="B20" s="48" t="str">
        <f>H34</f>
        <v>AUTOCUIDADOS</v>
      </c>
      <c r="C20" s="49">
        <f>L35</f>
        <v>0</v>
      </c>
      <c r="D20" s="49">
        <f>L36</f>
        <v>0</v>
      </c>
      <c r="E20" s="49">
        <f>L37</f>
        <v>0</v>
      </c>
      <c r="F20" s="49">
        <f>L38</f>
        <v>0</v>
      </c>
      <c r="G20" s="49">
        <f>L39</f>
        <v>0</v>
      </c>
      <c r="H20" s="49">
        <f>L40</f>
        <v>0</v>
      </c>
      <c r="I20" s="49">
        <f>L41</f>
        <v>0</v>
      </c>
      <c r="J20" s="29"/>
      <c r="L20" s="29"/>
    </row>
    <row r="21" ht="15.75" customHeight="1">
      <c r="B21" s="48" t="str">
        <f>B44</f>
        <v>DESENVOLVIMENTO MOTOR</v>
      </c>
      <c r="C21" s="49">
        <f>F45</f>
        <v>0</v>
      </c>
      <c r="D21" s="49">
        <f>F46</f>
        <v>0</v>
      </c>
      <c r="E21" s="49">
        <f>F47</f>
        <v>0</v>
      </c>
      <c r="F21" s="49">
        <f>F48</f>
        <v>0</v>
      </c>
      <c r="G21" s="49">
        <f>F49</f>
        <v>0</v>
      </c>
      <c r="H21" s="49">
        <f>F50</f>
        <v>0</v>
      </c>
      <c r="I21" s="49">
        <f>F51</f>
        <v>0</v>
      </c>
      <c r="J21" s="29"/>
      <c r="L21" s="29"/>
    </row>
    <row r="22" ht="15.75" customHeight="1">
      <c r="C22" s="13"/>
      <c r="D22" s="13"/>
      <c r="E22" s="34"/>
      <c r="F22" s="13"/>
      <c r="I22" s="29"/>
      <c r="J22" s="29"/>
      <c r="L22" s="29"/>
    </row>
    <row r="23" ht="15.75" customHeight="1">
      <c r="C23" s="29"/>
      <c r="D23" s="30"/>
      <c r="F23" s="30"/>
      <c r="I23" s="29"/>
      <c r="J23" s="29"/>
      <c r="L23" s="29"/>
    </row>
    <row r="24" ht="15.75" customHeight="1">
      <c r="B24" s="50" t="s">
        <v>9</v>
      </c>
      <c r="C24" s="51" t="s">
        <v>605</v>
      </c>
      <c r="D24" s="51" t="s">
        <v>606</v>
      </c>
      <c r="E24" s="51" t="s">
        <v>607</v>
      </c>
      <c r="F24" s="51" t="s">
        <v>608</v>
      </c>
      <c r="H24" s="50" t="s">
        <v>10</v>
      </c>
      <c r="I24" s="51" t="s">
        <v>605</v>
      </c>
      <c r="J24" s="51" t="s">
        <v>606</v>
      </c>
      <c r="K24" s="51" t="s">
        <v>607</v>
      </c>
      <c r="L24" s="51" t="s">
        <v>608</v>
      </c>
    </row>
    <row r="25" ht="15.75" customHeight="1">
      <c r="B25" s="48" t="str">
        <f>'AV 1'!B12</f>
        <v>Socialização - 0 a 1 ano</v>
      </c>
      <c r="C25" s="52">
        <f>'AV 3'!C41</f>
        <v>1.5</v>
      </c>
      <c r="D25" s="52">
        <v>28.0</v>
      </c>
      <c r="E25" s="53">
        <f t="shared" ref="E25:E30" si="2">(C25*12)/D25</f>
        <v>0.6428571429</v>
      </c>
      <c r="F25" s="49">
        <f t="shared" ref="F25:F31" si="3">C25/D25</f>
        <v>0.05357142857</v>
      </c>
      <c r="H25" s="37" t="str">
        <f>'AV 1'!E12</f>
        <v>Linguagem – 0 a 1 anos</v>
      </c>
      <c r="I25" s="54">
        <f>'AV 3'!F23</f>
        <v>0</v>
      </c>
      <c r="J25" s="54">
        <v>10.0</v>
      </c>
      <c r="K25" s="53">
        <f t="shared" ref="K25:K30" si="4">(I25*12)/J25</f>
        <v>0</v>
      </c>
      <c r="L25" s="55">
        <f t="shared" ref="L25:L31" si="5">I25/J25</f>
        <v>0</v>
      </c>
    </row>
    <row r="26" ht="15.75" customHeight="1">
      <c r="B26" s="48" t="str">
        <f>'AV 1'!B42</f>
        <v>Socialização – 1 a 2 anos</v>
      </c>
      <c r="C26" s="52">
        <f>'AV 3'!C58</f>
        <v>0</v>
      </c>
      <c r="D26" s="52">
        <v>15.0</v>
      </c>
      <c r="E26" s="53">
        <f t="shared" si="2"/>
        <v>0</v>
      </c>
      <c r="F26" s="49">
        <f t="shared" si="3"/>
        <v>0</v>
      </c>
      <c r="H26" s="37" t="str">
        <f>'AV 1'!E24</f>
        <v>Linguagem – 1 a 2 anos</v>
      </c>
      <c r="I26" s="54">
        <f>'AV 3'!F43</f>
        <v>0</v>
      </c>
      <c r="J26" s="54">
        <v>18.0</v>
      </c>
      <c r="K26" s="53">
        <f t="shared" si="4"/>
        <v>0</v>
      </c>
      <c r="L26" s="55">
        <f t="shared" si="5"/>
        <v>0</v>
      </c>
    </row>
    <row r="27" ht="15.75" customHeight="1">
      <c r="B27" s="48" t="str">
        <f>'AV 1'!B59</f>
        <v>Socialização – 2 a 3 anos</v>
      </c>
      <c r="C27" s="52">
        <f>'AV 3'!C68</f>
        <v>0</v>
      </c>
      <c r="D27" s="52">
        <v>8.0</v>
      </c>
      <c r="E27" s="53">
        <f t="shared" si="2"/>
        <v>0</v>
      </c>
      <c r="F27" s="49">
        <f t="shared" si="3"/>
        <v>0</v>
      </c>
      <c r="H27" s="37" t="str">
        <f>'AV 1'!E44</f>
        <v>Linguagem – 2 a 3 anos</v>
      </c>
      <c r="I27" s="54">
        <f>'AV 3'!F75</f>
        <v>0</v>
      </c>
      <c r="J27" s="54">
        <v>30.0</v>
      </c>
      <c r="K27" s="53">
        <f t="shared" si="4"/>
        <v>0</v>
      </c>
      <c r="L27" s="55">
        <f t="shared" si="5"/>
        <v>0</v>
      </c>
    </row>
    <row r="28" ht="15.75" customHeight="1">
      <c r="B28" s="48" t="str">
        <f>'AV 1'!B69</f>
        <v>Socialização – 3 a 4 anos</v>
      </c>
      <c r="C28" s="52">
        <f>'AV 3'!C82</f>
        <v>0</v>
      </c>
      <c r="D28" s="52">
        <v>12.0</v>
      </c>
      <c r="E28" s="53">
        <f t="shared" si="2"/>
        <v>0</v>
      </c>
      <c r="F28" s="49">
        <f t="shared" si="3"/>
        <v>0</v>
      </c>
      <c r="H28" s="37" t="str">
        <f>'AV 1'!E76</f>
        <v>Linguagem – 3 a 4 anos</v>
      </c>
      <c r="I28" s="54">
        <f>'AV 3'!F89</f>
        <v>0</v>
      </c>
      <c r="J28" s="54">
        <v>12.0</v>
      </c>
      <c r="K28" s="53">
        <f t="shared" si="4"/>
        <v>0</v>
      </c>
      <c r="L28" s="55">
        <f t="shared" si="5"/>
        <v>0</v>
      </c>
    </row>
    <row r="29" ht="15.75" customHeight="1">
      <c r="B29" s="48" t="str">
        <f>'AV 1'!B83</f>
        <v>Socialização – 4 a 5 anos</v>
      </c>
      <c r="C29" s="52">
        <f>'AV 3'!C93</f>
        <v>0</v>
      </c>
      <c r="D29" s="52">
        <v>9.0</v>
      </c>
      <c r="E29" s="53">
        <f t="shared" si="2"/>
        <v>0</v>
      </c>
      <c r="F29" s="49">
        <f t="shared" si="3"/>
        <v>0</v>
      </c>
      <c r="H29" s="37" t="str">
        <f>'AV 1'!E90</f>
        <v>Linguagem – 4 a 5 anos</v>
      </c>
      <c r="I29" s="54">
        <f>'AV 3'!F106</f>
        <v>0</v>
      </c>
      <c r="J29" s="54">
        <v>15.0</v>
      </c>
      <c r="K29" s="53">
        <f t="shared" si="4"/>
        <v>0</v>
      </c>
      <c r="L29" s="55">
        <f t="shared" si="5"/>
        <v>0</v>
      </c>
    </row>
    <row r="30" ht="15.75" customHeight="1">
      <c r="B30" s="48" t="str">
        <f>'AV 1'!B94</f>
        <v>Socialização – 5 a 6 anos</v>
      </c>
      <c r="C30" s="52">
        <f>'AV 3'!C106</f>
        <v>0</v>
      </c>
      <c r="D30" s="52">
        <v>11.0</v>
      </c>
      <c r="E30" s="53">
        <f t="shared" si="2"/>
        <v>0</v>
      </c>
      <c r="F30" s="49">
        <f t="shared" si="3"/>
        <v>0</v>
      </c>
      <c r="H30" s="37" t="str">
        <f>'AV 1'!E107</f>
        <v>Linguagem – 5 a 6 anos</v>
      </c>
      <c r="I30" s="54">
        <f>'AV 3'!F122</f>
        <v>0</v>
      </c>
      <c r="J30" s="54">
        <v>14.0</v>
      </c>
      <c r="K30" s="53">
        <f t="shared" si="4"/>
        <v>0</v>
      </c>
      <c r="L30" s="55">
        <f t="shared" si="5"/>
        <v>0</v>
      </c>
    </row>
    <row r="31" ht="15.75" customHeight="1">
      <c r="B31" s="56" t="s">
        <v>609</v>
      </c>
      <c r="C31" s="51">
        <f t="shared" ref="C31:E31" si="6">SUM(C25:C30)</f>
        <v>1.5</v>
      </c>
      <c r="D31" s="51">
        <f t="shared" si="6"/>
        <v>83</v>
      </c>
      <c r="E31" s="57">
        <f t="shared" si="6"/>
        <v>0.6428571429</v>
      </c>
      <c r="F31" s="58">
        <f t="shared" si="3"/>
        <v>0.01807228916</v>
      </c>
      <c r="H31" s="56" t="s">
        <v>609</v>
      </c>
      <c r="I31" s="51">
        <f t="shared" ref="I31:K31" si="7">SUM(I25:I30)</f>
        <v>0</v>
      </c>
      <c r="J31" s="59">
        <f t="shared" si="7"/>
        <v>99</v>
      </c>
      <c r="K31" s="60">
        <f t="shared" si="7"/>
        <v>0</v>
      </c>
      <c r="L31" s="61">
        <f t="shared" si="5"/>
        <v>0</v>
      </c>
    </row>
    <row r="32" ht="21.0" customHeight="1">
      <c r="B32" s="62" t="s">
        <v>610</v>
      </c>
      <c r="C32" s="42"/>
      <c r="D32" s="36"/>
      <c r="E32" s="63">
        <f>E31/12</f>
        <v>0.05357142857</v>
      </c>
      <c r="F32" s="64"/>
      <c r="H32" s="62" t="s">
        <v>611</v>
      </c>
      <c r="I32" s="42"/>
      <c r="J32" s="36"/>
      <c r="K32" s="65">
        <f>K31/12</f>
        <v>0</v>
      </c>
      <c r="L32" s="66"/>
    </row>
    <row r="33" ht="15.75" customHeight="1">
      <c r="C33" s="29"/>
      <c r="D33" s="30"/>
      <c r="F33" s="30"/>
      <c r="I33" s="29"/>
      <c r="J33" s="29"/>
      <c r="L33" s="29"/>
    </row>
    <row r="34" ht="15.75" customHeight="1">
      <c r="B34" s="50" t="s">
        <v>11</v>
      </c>
      <c r="C34" s="51" t="s">
        <v>605</v>
      </c>
      <c r="D34" s="51" t="s">
        <v>606</v>
      </c>
      <c r="E34" s="51" t="s">
        <v>607</v>
      </c>
      <c r="F34" s="51" t="s">
        <v>608</v>
      </c>
      <c r="H34" s="50" t="s">
        <v>12</v>
      </c>
      <c r="I34" s="51" t="s">
        <v>605</v>
      </c>
      <c r="J34" s="51" t="s">
        <v>606</v>
      </c>
      <c r="K34" s="51" t="s">
        <v>607</v>
      </c>
      <c r="L34" s="51" t="s">
        <v>608</v>
      </c>
    </row>
    <row r="35" ht="15.75" customHeight="1">
      <c r="B35" s="37" t="str">
        <f>'AV 1'!H12</f>
        <v>Cognição – 0 a 1 ano</v>
      </c>
      <c r="C35" s="54">
        <f>'AV 3'!I27</f>
        <v>0</v>
      </c>
      <c r="D35" s="67">
        <v>14.0</v>
      </c>
      <c r="E35" s="53">
        <f t="shared" ref="E35:E40" si="8">(C35*12)/D35</f>
        <v>0</v>
      </c>
      <c r="F35" s="68">
        <f t="shared" ref="F35:F41" si="9">C35/D35</f>
        <v>0</v>
      </c>
      <c r="H35" s="37" t="str">
        <f>'AV 1'!K12</f>
        <v>Auto cuidados – 0 a 1 anos</v>
      </c>
      <c r="I35" s="54">
        <f>'AV 3'!L26</f>
        <v>0</v>
      </c>
      <c r="J35" s="54">
        <v>13.0</v>
      </c>
      <c r="K35" s="53">
        <f t="shared" ref="K35:K40" si="10">(I35*12)/J35</f>
        <v>0</v>
      </c>
      <c r="L35" s="55">
        <f t="shared" ref="L35:L41" si="11">I35/J35</f>
        <v>0</v>
      </c>
    </row>
    <row r="36" ht="15.75" customHeight="1">
      <c r="B36" s="37" t="str">
        <f>'AV 1'!H28</f>
        <v>Cognição – 1 a 2 anos</v>
      </c>
      <c r="C36" s="54">
        <f>'AV 3'!I39</f>
        <v>0</v>
      </c>
      <c r="D36" s="67">
        <v>10.0</v>
      </c>
      <c r="E36" s="53">
        <f t="shared" si="8"/>
        <v>0</v>
      </c>
      <c r="F36" s="68">
        <f t="shared" si="9"/>
        <v>0</v>
      </c>
      <c r="H36" s="37" t="str">
        <f>'AV 1'!K27</f>
        <v>Auto cuidados – 1 a 2 anos</v>
      </c>
      <c r="I36" s="54">
        <f>'AV 3'!L40</f>
        <v>0</v>
      </c>
      <c r="J36" s="54">
        <v>12.0</v>
      </c>
      <c r="K36" s="53">
        <f t="shared" si="10"/>
        <v>0</v>
      </c>
      <c r="L36" s="55">
        <f t="shared" si="11"/>
        <v>0</v>
      </c>
    </row>
    <row r="37" ht="15.75" customHeight="1">
      <c r="B37" s="37" t="str">
        <f>'AV 1'!H40</f>
        <v>Cognição – 2 a 3 anos</v>
      </c>
      <c r="C37" s="54">
        <f>'AV 3'!I57</f>
        <v>0</v>
      </c>
      <c r="D37" s="67">
        <v>16.0</v>
      </c>
      <c r="E37" s="53">
        <f t="shared" si="8"/>
        <v>0</v>
      </c>
      <c r="F37" s="68">
        <f t="shared" si="9"/>
        <v>0</v>
      </c>
      <c r="H37" s="37" t="str">
        <f>'AV 1'!K41</f>
        <v>Auto cuidados – 2 a 3 anos</v>
      </c>
      <c r="I37" s="54">
        <f>'AV 3'!L69</f>
        <v>0</v>
      </c>
      <c r="J37" s="54">
        <v>27.0</v>
      </c>
      <c r="K37" s="53">
        <f t="shared" si="10"/>
        <v>0</v>
      </c>
      <c r="L37" s="55">
        <f t="shared" si="11"/>
        <v>0</v>
      </c>
    </row>
    <row r="38" ht="15.75" customHeight="1">
      <c r="B38" s="37" t="str">
        <f>'AV 1'!H58</f>
        <v>Cognição – 3 a 4 anos</v>
      </c>
      <c r="C38" s="54">
        <f>'AV 3'!I83</f>
        <v>0</v>
      </c>
      <c r="D38" s="67">
        <v>24.0</v>
      </c>
      <c r="E38" s="53">
        <f t="shared" si="8"/>
        <v>0</v>
      </c>
      <c r="F38" s="68">
        <f t="shared" si="9"/>
        <v>0</v>
      </c>
      <c r="H38" s="37" t="str">
        <f>'AV 1'!K70</f>
        <v>Auto cuidados – 3 a 4 anos</v>
      </c>
      <c r="I38" s="54">
        <f>'AV 3'!L86</f>
        <v>0</v>
      </c>
      <c r="J38" s="54">
        <v>15.0</v>
      </c>
      <c r="K38" s="53">
        <f t="shared" si="10"/>
        <v>0</v>
      </c>
      <c r="L38" s="55">
        <f t="shared" si="11"/>
        <v>0</v>
      </c>
    </row>
    <row r="39" ht="15.75" customHeight="1">
      <c r="B39" s="37" t="str">
        <f>'AV 1'!H84</f>
        <v>Cognição – 4 a 5 anos</v>
      </c>
      <c r="C39" s="54">
        <f>'AV 3'!I107</f>
        <v>0</v>
      </c>
      <c r="D39" s="67">
        <v>22.0</v>
      </c>
      <c r="E39" s="53">
        <f t="shared" si="8"/>
        <v>0</v>
      </c>
      <c r="F39" s="68">
        <f t="shared" si="9"/>
        <v>0</v>
      </c>
      <c r="H39" s="37" t="str">
        <f>'AV 1'!K87</f>
        <v>Auto cuidados – 4 a 5 anos</v>
      </c>
      <c r="I39" s="54">
        <f>'AV 3'!L111</f>
        <v>0</v>
      </c>
      <c r="J39" s="54">
        <v>23.0</v>
      </c>
      <c r="K39" s="53">
        <f t="shared" si="10"/>
        <v>0</v>
      </c>
      <c r="L39" s="55">
        <f t="shared" si="11"/>
        <v>0</v>
      </c>
    </row>
    <row r="40" ht="15.75" customHeight="1">
      <c r="B40" s="37" t="str">
        <f>'AV 1'!H108</f>
        <v>Cognição – 5 a 6 anos</v>
      </c>
      <c r="C40" s="54">
        <f>'AV 3'!I131</f>
        <v>0</v>
      </c>
      <c r="D40" s="67">
        <v>22.0</v>
      </c>
      <c r="E40" s="53">
        <f t="shared" si="8"/>
        <v>0</v>
      </c>
      <c r="F40" s="68">
        <f t="shared" si="9"/>
        <v>0</v>
      </c>
      <c r="H40" s="37" t="str">
        <f>'AV 1'!K112</f>
        <v>Auto cuidados – 5 a 6 anos</v>
      </c>
      <c r="I40" s="54">
        <f>'AV 3'!L128</f>
        <v>0</v>
      </c>
      <c r="J40" s="54">
        <v>15.0</v>
      </c>
      <c r="K40" s="53">
        <f t="shared" si="10"/>
        <v>0</v>
      </c>
      <c r="L40" s="55">
        <f t="shared" si="11"/>
        <v>0</v>
      </c>
    </row>
    <row r="41" ht="17.25" customHeight="1">
      <c r="B41" s="56" t="s">
        <v>609</v>
      </c>
      <c r="C41" s="51">
        <f t="shared" ref="C41:E41" si="12">SUM(C35:C40)</f>
        <v>0</v>
      </c>
      <c r="D41" s="51">
        <f t="shared" si="12"/>
        <v>108</v>
      </c>
      <c r="E41" s="60">
        <f t="shared" si="12"/>
        <v>0</v>
      </c>
      <c r="F41" s="58">
        <f t="shared" si="9"/>
        <v>0</v>
      </c>
      <c r="H41" s="56" t="s">
        <v>609</v>
      </c>
      <c r="I41" s="51">
        <f t="shared" ref="I41:K41" si="13">SUM(I35:I40)</f>
        <v>0</v>
      </c>
      <c r="J41" s="59">
        <f t="shared" si="13"/>
        <v>105</v>
      </c>
      <c r="K41" s="60">
        <f t="shared" si="13"/>
        <v>0</v>
      </c>
      <c r="L41" s="61">
        <f t="shared" si="11"/>
        <v>0</v>
      </c>
    </row>
    <row r="42" ht="20.25" customHeight="1">
      <c r="B42" s="62" t="s">
        <v>612</v>
      </c>
      <c r="C42" s="42"/>
      <c r="D42" s="36"/>
      <c r="E42" s="65">
        <f>E41/12</f>
        <v>0</v>
      </c>
      <c r="F42" s="64"/>
      <c r="H42" s="62" t="s">
        <v>613</v>
      </c>
      <c r="I42" s="42"/>
      <c r="J42" s="36"/>
      <c r="K42" s="65">
        <f>K41/12</f>
        <v>0</v>
      </c>
      <c r="L42" s="66"/>
    </row>
    <row r="43" ht="15.75" customHeight="1">
      <c r="C43" s="29"/>
      <c r="D43" s="30"/>
      <c r="F43" s="30"/>
      <c r="I43" s="29"/>
      <c r="J43" s="29"/>
      <c r="L43" s="29"/>
    </row>
    <row r="44" ht="15.75" customHeight="1">
      <c r="B44" s="50" t="s">
        <v>13</v>
      </c>
      <c r="C44" s="51" t="s">
        <v>605</v>
      </c>
      <c r="D44" s="51" t="s">
        <v>606</v>
      </c>
      <c r="E44" s="51" t="s">
        <v>607</v>
      </c>
      <c r="F44" s="51" t="s">
        <v>608</v>
      </c>
      <c r="I44" s="29"/>
      <c r="J44" s="29"/>
      <c r="L44" s="29"/>
    </row>
    <row r="45" ht="15.75" customHeight="1">
      <c r="B45" s="37" t="str">
        <f>'AV 1'!N12</f>
        <v>Desenvolvimento Motor – 0 a 1 ano</v>
      </c>
      <c r="C45" s="54">
        <f>'AV 3'!O58</f>
        <v>0</v>
      </c>
      <c r="D45" s="67">
        <v>45.0</v>
      </c>
      <c r="E45" s="53">
        <f t="shared" ref="E45:E50" si="14">(C45*12)/D45</f>
        <v>0</v>
      </c>
      <c r="F45" s="68">
        <f t="shared" ref="F45:F51" si="15">C45/D45</f>
        <v>0</v>
      </c>
      <c r="I45" s="29"/>
      <c r="J45" s="29"/>
      <c r="L45" s="29"/>
    </row>
    <row r="46" ht="15.75" customHeight="1">
      <c r="B46" s="37" t="str">
        <f>'AV 1'!N59</f>
        <v>Desenvolvimento Motor – 1 a 2 anos</v>
      </c>
      <c r="C46" s="54">
        <f>'AV 3'!O78</f>
        <v>0</v>
      </c>
      <c r="D46" s="67">
        <v>18.0</v>
      </c>
      <c r="E46" s="53">
        <f t="shared" si="14"/>
        <v>0</v>
      </c>
      <c r="F46" s="68">
        <f t="shared" si="15"/>
        <v>0</v>
      </c>
      <c r="I46" s="29"/>
      <c r="J46" s="29"/>
      <c r="L46" s="29"/>
    </row>
    <row r="47" ht="15.75" customHeight="1">
      <c r="B47" s="37" t="str">
        <f>'AV 1'!N79</f>
        <v>Desenvolvimento Motor – 2 a 3 anos</v>
      </c>
      <c r="C47" s="54">
        <f>'AV 3'!O97</f>
        <v>0</v>
      </c>
      <c r="D47" s="67">
        <v>17.0</v>
      </c>
      <c r="E47" s="53">
        <f t="shared" si="14"/>
        <v>0</v>
      </c>
      <c r="F47" s="68">
        <f t="shared" si="15"/>
        <v>0</v>
      </c>
      <c r="I47" s="29"/>
      <c r="J47" s="29"/>
      <c r="L47" s="29"/>
    </row>
    <row r="48" ht="15.75" customHeight="1">
      <c r="B48" s="37" t="str">
        <f>'AV 1'!N98</f>
        <v>Desenvolvimento Motor – 3 a 4 ano</v>
      </c>
      <c r="C48" s="54">
        <f>'AV 3'!O114</f>
        <v>0</v>
      </c>
      <c r="D48" s="67">
        <v>15.0</v>
      </c>
      <c r="E48" s="53">
        <f t="shared" si="14"/>
        <v>0</v>
      </c>
      <c r="F48" s="68">
        <f t="shared" si="15"/>
        <v>0</v>
      </c>
      <c r="I48" s="29"/>
      <c r="J48" s="29"/>
      <c r="L48" s="29"/>
    </row>
    <row r="49" ht="15.75" customHeight="1">
      <c r="B49" s="37" t="str">
        <f>'AV 1'!N115</f>
        <v>Desenvolvimento Motor – 4 a 5 anos</v>
      </c>
      <c r="C49" s="54">
        <f>'AV 3'!O132</f>
        <v>0</v>
      </c>
      <c r="D49" s="67">
        <v>16.0</v>
      </c>
      <c r="E49" s="53">
        <f t="shared" si="14"/>
        <v>0</v>
      </c>
      <c r="F49" s="68">
        <f t="shared" si="15"/>
        <v>0</v>
      </c>
      <c r="I49" s="29"/>
      <c r="J49" s="29"/>
      <c r="L49" s="29"/>
    </row>
    <row r="50" ht="15.75" customHeight="1">
      <c r="B50" s="37" t="str">
        <f>'AV 1'!N133</f>
        <v>Desenvolvimento Motor – 5 a 6 anos</v>
      </c>
      <c r="C50" s="54">
        <f>'AV 3'!O163</f>
        <v>0</v>
      </c>
      <c r="D50" s="67">
        <v>29.0</v>
      </c>
      <c r="E50" s="53">
        <f t="shared" si="14"/>
        <v>0</v>
      </c>
      <c r="F50" s="68">
        <f t="shared" si="15"/>
        <v>0</v>
      </c>
      <c r="I50" s="29"/>
      <c r="J50" s="29"/>
      <c r="L50" s="29"/>
    </row>
    <row r="51" ht="18.75" customHeight="1">
      <c r="B51" s="56" t="s">
        <v>609</v>
      </c>
      <c r="C51" s="51">
        <f t="shared" ref="C51:E51" si="16">SUM(C45:C50)</f>
        <v>0</v>
      </c>
      <c r="D51" s="51">
        <f t="shared" si="16"/>
        <v>140</v>
      </c>
      <c r="E51" s="60">
        <f t="shared" si="16"/>
        <v>0</v>
      </c>
      <c r="F51" s="58">
        <f t="shared" si="15"/>
        <v>0</v>
      </c>
      <c r="I51" s="29"/>
      <c r="J51" s="29"/>
      <c r="L51" s="29"/>
    </row>
    <row r="52" ht="20.25" customHeight="1">
      <c r="B52" s="62" t="s">
        <v>614</v>
      </c>
      <c r="C52" s="42"/>
      <c r="D52" s="36"/>
      <c r="E52" s="65">
        <f>E51/12</f>
        <v>0</v>
      </c>
      <c r="F52" s="64"/>
      <c r="I52" s="29"/>
      <c r="J52" s="29"/>
      <c r="L52" s="29"/>
    </row>
    <row r="53" ht="15.75" customHeight="1">
      <c r="C53" s="29"/>
      <c r="D53" s="30"/>
      <c r="F53" s="30"/>
      <c r="I53" s="29"/>
      <c r="J53" s="29"/>
      <c r="L53" s="29"/>
    </row>
    <row r="54" ht="15.75" customHeight="1">
      <c r="C54" s="29"/>
      <c r="D54" s="30"/>
      <c r="F54" s="30"/>
      <c r="I54" s="29"/>
      <c r="J54" s="29"/>
      <c r="L54" s="29"/>
    </row>
    <row r="55" ht="15.75" customHeight="1">
      <c r="C55" s="29"/>
      <c r="D55" s="30"/>
      <c r="F55" s="30"/>
      <c r="I55" s="29"/>
      <c r="J55" s="29"/>
      <c r="L55" s="29"/>
    </row>
    <row r="56" ht="15.75" customHeight="1">
      <c r="C56" s="29"/>
      <c r="D56" s="30"/>
      <c r="F56" s="30"/>
      <c r="I56" s="29"/>
      <c r="J56" s="29"/>
      <c r="L56" s="29"/>
    </row>
    <row r="57" ht="15.75" customHeight="1">
      <c r="C57" s="29"/>
      <c r="D57" s="30"/>
      <c r="F57" s="30"/>
      <c r="I57" s="29"/>
      <c r="J57" s="29"/>
      <c r="L57" s="29"/>
    </row>
    <row r="58" ht="15.75" customHeight="1">
      <c r="C58" s="29"/>
      <c r="D58" s="30"/>
      <c r="F58" s="30"/>
      <c r="I58" s="29"/>
      <c r="J58" s="29"/>
      <c r="L58" s="29"/>
    </row>
    <row r="59" ht="15.75" customHeight="1">
      <c r="C59" s="29"/>
      <c r="D59" s="30"/>
      <c r="F59" s="30"/>
      <c r="I59" s="29"/>
      <c r="J59" s="29"/>
      <c r="L59" s="29"/>
    </row>
    <row r="60" ht="15.75" customHeight="1">
      <c r="C60" s="29"/>
      <c r="D60" s="30"/>
      <c r="F60" s="30"/>
      <c r="I60" s="29"/>
      <c r="J60" s="29"/>
      <c r="L60" s="29"/>
    </row>
    <row r="61" ht="15.75" customHeight="1">
      <c r="C61" s="29"/>
      <c r="D61" s="30"/>
      <c r="F61" s="30"/>
      <c r="I61" s="29"/>
      <c r="J61" s="29"/>
      <c r="L61" s="29"/>
    </row>
    <row r="62" ht="15.75" customHeight="1">
      <c r="C62" s="29"/>
      <c r="D62" s="30"/>
      <c r="F62" s="30"/>
      <c r="I62" s="29"/>
      <c r="J62" s="29"/>
      <c r="L62" s="29"/>
    </row>
    <row r="63" ht="15.75" customHeight="1">
      <c r="C63" s="29"/>
      <c r="D63" s="30"/>
      <c r="F63" s="30"/>
      <c r="I63" s="29"/>
      <c r="J63" s="29"/>
      <c r="L63" s="29"/>
    </row>
    <row r="64" ht="15.75" customHeight="1">
      <c r="C64" s="29"/>
      <c r="D64" s="30"/>
      <c r="F64" s="30"/>
      <c r="I64" s="29"/>
      <c r="J64" s="29"/>
      <c r="L64" s="29"/>
    </row>
    <row r="65" ht="15.75" customHeight="1">
      <c r="C65" s="29"/>
      <c r="D65" s="30"/>
      <c r="F65" s="30"/>
      <c r="I65" s="29"/>
      <c r="J65" s="29"/>
      <c r="L65" s="29"/>
    </row>
    <row r="66" ht="15.75" customHeight="1">
      <c r="C66" s="29"/>
      <c r="D66" s="30"/>
      <c r="F66" s="30"/>
      <c r="I66" s="29"/>
      <c r="J66" s="29"/>
      <c r="L66" s="29"/>
    </row>
    <row r="67" ht="15.75" customHeight="1">
      <c r="C67" s="29"/>
      <c r="D67" s="30"/>
      <c r="F67" s="30"/>
      <c r="I67" s="29"/>
      <c r="J67" s="29"/>
      <c r="L67" s="29"/>
    </row>
    <row r="68" ht="15.75" customHeight="1">
      <c r="C68" s="29"/>
      <c r="D68" s="30"/>
      <c r="F68" s="30"/>
      <c r="I68" s="29"/>
      <c r="J68" s="29"/>
      <c r="L68" s="29"/>
    </row>
    <row r="69" ht="15.75" customHeight="1">
      <c r="C69" s="29"/>
      <c r="D69" s="30"/>
      <c r="F69" s="30"/>
      <c r="I69" s="29"/>
      <c r="J69" s="29"/>
      <c r="L69" s="29"/>
    </row>
    <row r="70" ht="15.75" customHeight="1">
      <c r="C70" s="29"/>
      <c r="D70" s="30"/>
      <c r="F70" s="30"/>
      <c r="I70" s="29"/>
      <c r="J70" s="29"/>
      <c r="L70" s="29"/>
    </row>
    <row r="71" ht="15.75" customHeight="1">
      <c r="C71" s="29"/>
      <c r="D71" s="30"/>
      <c r="F71" s="30"/>
      <c r="I71" s="29"/>
      <c r="J71" s="29"/>
      <c r="L71" s="29"/>
    </row>
    <row r="72" ht="15.75" customHeight="1">
      <c r="C72" s="29"/>
      <c r="D72" s="30"/>
      <c r="F72" s="30"/>
      <c r="I72" s="29"/>
      <c r="J72" s="29"/>
      <c r="L72" s="29"/>
    </row>
    <row r="73" ht="15.75" customHeight="1">
      <c r="C73" s="29"/>
      <c r="D73" s="30"/>
      <c r="F73" s="30"/>
      <c r="I73" s="29"/>
      <c r="J73" s="29"/>
      <c r="L73" s="29"/>
    </row>
    <row r="74" ht="15.75" customHeight="1">
      <c r="C74" s="29"/>
      <c r="D74" s="30"/>
      <c r="F74" s="30"/>
      <c r="I74" s="29"/>
      <c r="J74" s="29"/>
      <c r="L74" s="29"/>
    </row>
    <row r="75" ht="15.75" customHeight="1">
      <c r="C75" s="29"/>
      <c r="D75" s="30"/>
      <c r="F75" s="30"/>
      <c r="I75" s="29"/>
      <c r="J75" s="29"/>
      <c r="L75" s="29"/>
    </row>
    <row r="76" ht="15.75" customHeight="1">
      <c r="C76" s="29"/>
      <c r="D76" s="30"/>
      <c r="F76" s="30"/>
      <c r="I76" s="29"/>
      <c r="J76" s="29"/>
      <c r="L76" s="29"/>
    </row>
    <row r="77" ht="15.75" customHeight="1">
      <c r="C77" s="29"/>
      <c r="D77" s="30"/>
      <c r="F77" s="30"/>
      <c r="I77" s="29"/>
      <c r="J77" s="29"/>
      <c r="L77" s="29"/>
    </row>
    <row r="78" ht="15.75" customHeight="1">
      <c r="C78" s="29"/>
      <c r="D78" s="30"/>
      <c r="F78" s="30"/>
      <c r="I78" s="29"/>
      <c r="J78" s="29"/>
      <c r="L78" s="29"/>
    </row>
    <row r="79" ht="15.75" customHeight="1">
      <c r="C79" s="29"/>
      <c r="D79" s="30"/>
      <c r="F79" s="30"/>
      <c r="I79" s="29"/>
      <c r="J79" s="29"/>
      <c r="L79" s="29"/>
    </row>
    <row r="80" ht="15.75" customHeight="1">
      <c r="C80" s="29"/>
      <c r="D80" s="30"/>
      <c r="F80" s="30"/>
      <c r="I80" s="29"/>
      <c r="J80" s="29"/>
      <c r="L80" s="29"/>
    </row>
    <row r="81" ht="15.75" customHeight="1">
      <c r="C81" s="29"/>
      <c r="D81" s="30"/>
      <c r="F81" s="30"/>
      <c r="I81" s="29"/>
      <c r="J81" s="29"/>
      <c r="L81" s="29"/>
    </row>
    <row r="82" ht="15.75" customHeight="1">
      <c r="C82" s="29"/>
      <c r="D82" s="30"/>
      <c r="F82" s="30"/>
      <c r="I82" s="29"/>
      <c r="J82" s="29"/>
      <c r="L82" s="29"/>
    </row>
    <row r="83" ht="15.75" customHeight="1">
      <c r="C83" s="29"/>
      <c r="D83" s="30"/>
      <c r="F83" s="30"/>
      <c r="I83" s="29"/>
      <c r="J83" s="29"/>
      <c r="L83" s="29"/>
    </row>
    <row r="84" ht="15.75" customHeight="1">
      <c r="C84" s="29"/>
      <c r="D84" s="30"/>
      <c r="F84" s="30"/>
      <c r="I84" s="29"/>
      <c r="J84" s="29"/>
      <c r="L84" s="29"/>
    </row>
    <row r="85" ht="15.75" customHeight="1">
      <c r="C85" s="29"/>
      <c r="D85" s="30"/>
      <c r="F85" s="30"/>
      <c r="I85" s="29"/>
      <c r="J85" s="29"/>
      <c r="L85" s="29"/>
    </row>
    <row r="86" ht="15.75" customHeight="1">
      <c r="C86" s="29"/>
      <c r="D86" s="30"/>
      <c r="F86" s="30"/>
      <c r="I86" s="29"/>
      <c r="J86" s="29"/>
      <c r="L86" s="29"/>
    </row>
    <row r="87" ht="15.75" customHeight="1">
      <c r="C87" s="29"/>
      <c r="D87" s="30"/>
      <c r="F87" s="30"/>
      <c r="I87" s="29"/>
      <c r="J87" s="29"/>
      <c r="L87" s="29"/>
    </row>
    <row r="88" ht="15.75" customHeight="1">
      <c r="C88" s="29"/>
      <c r="D88" s="30"/>
      <c r="F88" s="30"/>
      <c r="I88" s="29"/>
      <c r="J88" s="29"/>
      <c r="L88" s="29"/>
    </row>
    <row r="89" ht="15.75" customHeight="1">
      <c r="C89" s="29"/>
      <c r="D89" s="30"/>
      <c r="F89" s="30"/>
      <c r="I89" s="29"/>
      <c r="J89" s="29"/>
      <c r="L89" s="29"/>
    </row>
    <row r="90" ht="15.75" customHeight="1">
      <c r="C90" s="29"/>
      <c r="D90" s="30"/>
      <c r="F90" s="30"/>
      <c r="I90" s="29"/>
      <c r="J90" s="29"/>
      <c r="L90" s="29"/>
    </row>
    <row r="91" ht="15.75" customHeight="1">
      <c r="C91" s="29"/>
      <c r="D91" s="30"/>
      <c r="F91" s="30"/>
      <c r="I91" s="29"/>
      <c r="J91" s="29"/>
      <c r="L91" s="29"/>
    </row>
    <row r="92" ht="15.75" customHeight="1">
      <c r="C92" s="29"/>
      <c r="D92" s="30"/>
      <c r="F92" s="30"/>
      <c r="I92" s="29"/>
      <c r="J92" s="29"/>
      <c r="L92" s="29"/>
    </row>
    <row r="93" ht="15.75" customHeight="1">
      <c r="C93" s="29"/>
      <c r="D93" s="30"/>
      <c r="F93" s="30"/>
      <c r="I93" s="29"/>
      <c r="J93" s="29"/>
      <c r="L93" s="29"/>
    </row>
    <row r="94" ht="15.75" customHeight="1">
      <c r="C94" s="29"/>
      <c r="D94" s="30"/>
      <c r="F94" s="30"/>
      <c r="I94" s="29"/>
      <c r="J94" s="29"/>
      <c r="L94" s="29"/>
    </row>
    <row r="95" ht="15.75" customHeight="1">
      <c r="C95" s="29"/>
      <c r="D95" s="30"/>
      <c r="F95" s="30"/>
      <c r="I95" s="29"/>
      <c r="J95" s="29"/>
      <c r="L95" s="29"/>
    </row>
    <row r="96" ht="15.75" customHeight="1">
      <c r="C96" s="29"/>
      <c r="D96" s="30"/>
      <c r="F96" s="30"/>
      <c r="I96" s="29"/>
      <c r="J96" s="29"/>
      <c r="L96" s="29"/>
    </row>
    <row r="97" ht="15.75" customHeight="1">
      <c r="C97" s="29"/>
      <c r="D97" s="30"/>
      <c r="F97" s="30"/>
      <c r="I97" s="29"/>
      <c r="J97" s="29"/>
      <c r="L97" s="29"/>
    </row>
    <row r="98" ht="15.75" customHeight="1">
      <c r="C98" s="29"/>
      <c r="D98" s="30"/>
      <c r="F98" s="30"/>
      <c r="I98" s="29"/>
      <c r="J98" s="29"/>
      <c r="L98" s="29"/>
    </row>
    <row r="99" ht="15.75" customHeight="1">
      <c r="C99" s="29"/>
      <c r="D99" s="30"/>
      <c r="F99" s="30"/>
      <c r="I99" s="29"/>
      <c r="J99" s="29"/>
      <c r="L99" s="29"/>
    </row>
    <row r="100" ht="15.75" customHeight="1">
      <c r="C100" s="29"/>
      <c r="D100" s="30"/>
      <c r="F100" s="30"/>
      <c r="I100" s="29"/>
      <c r="J100" s="29"/>
      <c r="L100" s="29"/>
    </row>
    <row r="101" ht="15.75" customHeight="1">
      <c r="C101" s="29"/>
      <c r="D101" s="30"/>
      <c r="F101" s="30"/>
      <c r="I101" s="29"/>
      <c r="J101" s="29"/>
      <c r="L101" s="29"/>
    </row>
    <row r="102" ht="15.75" customHeight="1">
      <c r="C102" s="29"/>
      <c r="D102" s="30"/>
      <c r="F102" s="30"/>
      <c r="I102" s="29"/>
      <c r="J102" s="29"/>
      <c r="L102" s="29"/>
    </row>
    <row r="103" ht="15.75" customHeight="1">
      <c r="C103" s="29"/>
      <c r="D103" s="30"/>
      <c r="F103" s="30"/>
      <c r="I103" s="29"/>
      <c r="J103" s="29"/>
      <c r="L103" s="29"/>
    </row>
    <row r="104" ht="15.75" customHeight="1">
      <c r="C104" s="29"/>
      <c r="D104" s="30"/>
      <c r="F104" s="30"/>
      <c r="I104" s="29"/>
      <c r="J104" s="29"/>
      <c r="L104" s="29"/>
    </row>
    <row r="105" ht="15.75" customHeight="1">
      <c r="C105" s="29"/>
      <c r="D105" s="30"/>
      <c r="F105" s="30"/>
      <c r="I105" s="29"/>
      <c r="J105" s="29"/>
      <c r="L105" s="29"/>
    </row>
    <row r="106" ht="15.75" customHeight="1">
      <c r="C106" s="29"/>
      <c r="D106" s="30"/>
      <c r="F106" s="30"/>
      <c r="I106" s="29"/>
      <c r="J106" s="29"/>
      <c r="L106" s="29"/>
    </row>
    <row r="107" ht="15.75" customHeight="1">
      <c r="C107" s="29"/>
      <c r="D107" s="30"/>
      <c r="F107" s="30"/>
      <c r="I107" s="29"/>
      <c r="J107" s="29"/>
      <c r="L107" s="29"/>
    </row>
    <row r="108" ht="15.75" customHeight="1">
      <c r="C108" s="29"/>
      <c r="D108" s="30"/>
      <c r="F108" s="30"/>
      <c r="I108" s="29"/>
      <c r="J108" s="29"/>
      <c r="L108" s="29"/>
    </row>
    <row r="109" ht="15.75" customHeight="1">
      <c r="C109" s="29"/>
      <c r="D109" s="30"/>
      <c r="F109" s="30"/>
      <c r="I109" s="29"/>
      <c r="J109" s="29"/>
      <c r="L109" s="29"/>
    </row>
    <row r="110" ht="15.75" customHeight="1">
      <c r="C110" s="29"/>
      <c r="D110" s="30"/>
      <c r="F110" s="30"/>
      <c r="I110" s="29"/>
      <c r="J110" s="29"/>
      <c r="L110" s="29"/>
    </row>
    <row r="111" ht="15.75" customHeight="1">
      <c r="C111" s="29"/>
      <c r="D111" s="30"/>
      <c r="F111" s="30"/>
      <c r="I111" s="29"/>
      <c r="J111" s="29"/>
      <c r="L111" s="29"/>
    </row>
    <row r="112" ht="15.75" customHeight="1">
      <c r="C112" s="29"/>
      <c r="D112" s="30"/>
      <c r="F112" s="30"/>
      <c r="I112" s="29"/>
      <c r="J112" s="29"/>
      <c r="L112" s="29"/>
    </row>
    <row r="113" ht="15.75" customHeight="1">
      <c r="C113" s="29"/>
      <c r="D113" s="30"/>
      <c r="F113" s="30"/>
      <c r="I113" s="29"/>
      <c r="J113" s="29"/>
      <c r="L113" s="29"/>
    </row>
    <row r="114" ht="15.75" customHeight="1">
      <c r="C114" s="29"/>
      <c r="D114" s="30"/>
      <c r="F114" s="30"/>
      <c r="I114" s="29"/>
      <c r="J114" s="29"/>
      <c r="L114" s="29"/>
    </row>
    <row r="115" ht="15.75" customHeight="1">
      <c r="C115" s="29"/>
      <c r="D115" s="30"/>
      <c r="F115" s="30"/>
      <c r="I115" s="29"/>
      <c r="J115" s="29"/>
      <c r="L115" s="29"/>
    </row>
    <row r="116" ht="15.75" customHeight="1">
      <c r="C116" s="29"/>
      <c r="D116" s="30"/>
      <c r="F116" s="30"/>
      <c r="I116" s="29"/>
      <c r="J116" s="29"/>
      <c r="L116" s="29"/>
    </row>
    <row r="117" ht="15.75" customHeight="1">
      <c r="C117" s="29"/>
      <c r="D117" s="30"/>
      <c r="F117" s="30"/>
      <c r="I117" s="29"/>
      <c r="J117" s="29"/>
      <c r="L117" s="29"/>
    </row>
    <row r="118" ht="15.75" customHeight="1">
      <c r="C118" s="29"/>
      <c r="D118" s="30"/>
      <c r="F118" s="30"/>
      <c r="I118" s="29"/>
      <c r="J118" s="29"/>
      <c r="L118" s="29"/>
    </row>
    <row r="119" ht="15.75" customHeight="1">
      <c r="C119" s="29"/>
      <c r="D119" s="30"/>
      <c r="F119" s="30"/>
      <c r="I119" s="29"/>
      <c r="J119" s="29"/>
      <c r="L119" s="29"/>
    </row>
    <row r="120" ht="15.75" customHeight="1">
      <c r="C120" s="29"/>
      <c r="D120" s="30"/>
      <c r="F120" s="30"/>
      <c r="I120" s="29"/>
      <c r="J120" s="29"/>
      <c r="L120" s="29"/>
    </row>
    <row r="121" ht="15.75" customHeight="1">
      <c r="C121" s="29"/>
      <c r="D121" s="30"/>
      <c r="F121" s="30"/>
      <c r="I121" s="29"/>
      <c r="J121" s="29"/>
      <c r="L121" s="29"/>
    </row>
    <row r="122" ht="15.75" customHeight="1">
      <c r="C122" s="29"/>
      <c r="D122" s="30"/>
      <c r="F122" s="30"/>
      <c r="I122" s="29"/>
      <c r="J122" s="29"/>
      <c r="L122" s="29"/>
    </row>
    <row r="123" ht="15.75" customHeight="1">
      <c r="C123" s="29"/>
      <c r="D123" s="30"/>
      <c r="F123" s="30"/>
      <c r="I123" s="29"/>
      <c r="J123" s="29"/>
      <c r="L123" s="29"/>
    </row>
    <row r="124" ht="15.75" customHeight="1">
      <c r="C124" s="29"/>
      <c r="D124" s="30"/>
      <c r="F124" s="30"/>
      <c r="I124" s="29"/>
      <c r="J124" s="29"/>
      <c r="L124" s="29"/>
    </row>
    <row r="125" ht="15.75" customHeight="1">
      <c r="C125" s="29"/>
      <c r="D125" s="30"/>
      <c r="F125" s="30"/>
      <c r="I125" s="29"/>
      <c r="J125" s="29"/>
      <c r="L125" s="29"/>
    </row>
    <row r="126" ht="15.75" customHeight="1">
      <c r="C126" s="29"/>
      <c r="D126" s="30"/>
      <c r="F126" s="30"/>
      <c r="I126" s="29"/>
      <c r="J126" s="29"/>
      <c r="L126" s="29"/>
    </row>
    <row r="127" ht="15.75" customHeight="1">
      <c r="C127" s="29"/>
      <c r="D127" s="30"/>
      <c r="F127" s="30"/>
      <c r="I127" s="29"/>
      <c r="J127" s="29"/>
      <c r="L127" s="29"/>
    </row>
    <row r="128" ht="15.75" customHeight="1">
      <c r="C128" s="29"/>
      <c r="D128" s="30"/>
      <c r="F128" s="30"/>
      <c r="I128" s="29"/>
      <c r="J128" s="29"/>
      <c r="L128" s="29"/>
    </row>
    <row r="129" ht="15.75" customHeight="1">
      <c r="C129" s="29"/>
      <c r="D129" s="30"/>
      <c r="F129" s="30"/>
      <c r="I129" s="29"/>
      <c r="J129" s="29"/>
      <c r="L129" s="29"/>
    </row>
    <row r="130" ht="15.75" customHeight="1">
      <c r="C130" s="29"/>
      <c r="D130" s="30"/>
      <c r="F130" s="30"/>
      <c r="I130" s="29"/>
      <c r="J130" s="29"/>
      <c r="L130" s="29"/>
    </row>
    <row r="131" ht="15.75" customHeight="1">
      <c r="C131" s="29"/>
      <c r="D131" s="30"/>
      <c r="F131" s="30"/>
      <c r="I131" s="29"/>
      <c r="J131" s="29"/>
      <c r="L131" s="29"/>
    </row>
    <row r="132" ht="15.75" customHeight="1">
      <c r="C132" s="29"/>
      <c r="D132" s="30"/>
      <c r="F132" s="30"/>
      <c r="I132" s="29"/>
      <c r="J132" s="29"/>
      <c r="L132" s="29"/>
    </row>
    <row r="133" ht="15.75" customHeight="1">
      <c r="C133" s="29"/>
      <c r="D133" s="30"/>
      <c r="F133" s="30"/>
      <c r="I133" s="29"/>
      <c r="J133" s="29"/>
      <c r="L133" s="29"/>
    </row>
    <row r="134" ht="15.75" customHeight="1">
      <c r="C134" s="29"/>
      <c r="D134" s="30"/>
      <c r="F134" s="30"/>
      <c r="I134" s="29"/>
      <c r="J134" s="29"/>
      <c r="L134" s="29"/>
    </row>
    <row r="135" ht="15.75" customHeight="1">
      <c r="C135" s="29"/>
      <c r="D135" s="30"/>
      <c r="F135" s="30"/>
      <c r="I135" s="29"/>
      <c r="J135" s="29"/>
      <c r="L135" s="29"/>
    </row>
    <row r="136" ht="15.75" customHeight="1">
      <c r="C136" s="29"/>
      <c r="D136" s="30"/>
      <c r="F136" s="30"/>
      <c r="I136" s="29"/>
      <c r="J136" s="29"/>
      <c r="L136" s="29"/>
    </row>
    <row r="137" ht="15.75" customHeight="1">
      <c r="C137" s="29"/>
      <c r="D137" s="30"/>
      <c r="F137" s="30"/>
      <c r="I137" s="29"/>
      <c r="J137" s="29"/>
      <c r="L137" s="29"/>
    </row>
    <row r="138" ht="15.75" customHeight="1">
      <c r="C138" s="29"/>
      <c r="D138" s="30"/>
      <c r="F138" s="30"/>
      <c r="I138" s="29"/>
      <c r="J138" s="29"/>
      <c r="L138" s="29"/>
    </row>
    <row r="139" ht="15.75" customHeight="1">
      <c r="C139" s="29"/>
      <c r="D139" s="30"/>
      <c r="F139" s="30"/>
      <c r="I139" s="29"/>
      <c r="J139" s="29"/>
      <c r="L139" s="29"/>
    </row>
    <row r="140" ht="15.75" customHeight="1">
      <c r="C140" s="29"/>
      <c r="D140" s="30"/>
      <c r="F140" s="30"/>
      <c r="I140" s="29"/>
      <c r="J140" s="29"/>
      <c r="L140" s="29"/>
    </row>
    <row r="141" ht="15.75" customHeight="1">
      <c r="C141" s="29"/>
      <c r="D141" s="30"/>
      <c r="F141" s="30"/>
      <c r="I141" s="29"/>
      <c r="J141" s="29"/>
      <c r="L141" s="29"/>
    </row>
    <row r="142" ht="15.75" customHeight="1">
      <c r="C142" s="29"/>
      <c r="D142" s="30"/>
      <c r="F142" s="30"/>
      <c r="I142" s="29"/>
      <c r="J142" s="29"/>
      <c r="L142" s="29"/>
    </row>
    <row r="143" ht="15.75" customHeight="1">
      <c r="C143" s="29"/>
      <c r="D143" s="30"/>
      <c r="F143" s="30"/>
      <c r="I143" s="29"/>
      <c r="J143" s="29"/>
      <c r="L143" s="29"/>
    </row>
    <row r="144" ht="15.75" customHeight="1">
      <c r="C144" s="29"/>
      <c r="D144" s="30"/>
      <c r="F144" s="30"/>
      <c r="I144" s="29"/>
      <c r="J144" s="29"/>
      <c r="L144" s="29"/>
    </row>
    <row r="145" ht="15.75" customHeight="1">
      <c r="C145" s="29"/>
      <c r="D145" s="30"/>
      <c r="F145" s="30"/>
      <c r="I145" s="29"/>
      <c r="J145" s="29"/>
      <c r="L145" s="29"/>
    </row>
    <row r="146" ht="15.75" customHeight="1">
      <c r="C146" s="29"/>
      <c r="D146" s="30"/>
      <c r="F146" s="30"/>
      <c r="I146" s="29"/>
      <c r="J146" s="29"/>
      <c r="L146" s="29"/>
    </row>
    <row r="147" ht="15.75" customHeight="1">
      <c r="C147" s="29"/>
      <c r="D147" s="30"/>
      <c r="F147" s="30"/>
      <c r="I147" s="29"/>
      <c r="J147" s="29"/>
      <c r="L147" s="29"/>
    </row>
    <row r="148" ht="15.75" customHeight="1">
      <c r="C148" s="29"/>
      <c r="D148" s="30"/>
      <c r="F148" s="30"/>
      <c r="I148" s="29"/>
      <c r="J148" s="29"/>
      <c r="L148" s="29"/>
    </row>
    <row r="149" ht="15.75" customHeight="1">
      <c r="C149" s="29"/>
      <c r="D149" s="30"/>
      <c r="F149" s="30"/>
      <c r="I149" s="29"/>
      <c r="J149" s="29"/>
      <c r="L149" s="29"/>
    </row>
    <row r="150" ht="15.75" customHeight="1">
      <c r="C150" s="29"/>
      <c r="D150" s="30"/>
      <c r="F150" s="30"/>
      <c r="I150" s="29"/>
      <c r="J150" s="29"/>
      <c r="L150" s="29"/>
    </row>
    <row r="151" ht="15.75" customHeight="1">
      <c r="C151" s="29"/>
      <c r="D151" s="30"/>
      <c r="F151" s="30"/>
      <c r="I151" s="29"/>
      <c r="J151" s="29"/>
      <c r="L151" s="29"/>
    </row>
    <row r="152" ht="15.75" customHeight="1">
      <c r="C152" s="29"/>
      <c r="D152" s="30"/>
      <c r="F152" s="30"/>
      <c r="I152" s="29"/>
      <c r="J152" s="29"/>
      <c r="L152" s="29"/>
    </row>
    <row r="153" ht="15.75" customHeight="1">
      <c r="C153" s="29"/>
      <c r="D153" s="30"/>
      <c r="F153" s="30"/>
      <c r="I153" s="29"/>
      <c r="J153" s="29"/>
      <c r="L153" s="29"/>
    </row>
    <row r="154" ht="15.75" customHeight="1">
      <c r="C154" s="29"/>
      <c r="D154" s="30"/>
      <c r="F154" s="30"/>
      <c r="I154" s="29"/>
      <c r="J154" s="29"/>
      <c r="L154" s="29"/>
    </row>
    <row r="155" ht="15.75" customHeight="1">
      <c r="C155" s="29"/>
      <c r="D155" s="30"/>
      <c r="F155" s="30"/>
      <c r="I155" s="29"/>
      <c r="J155" s="29"/>
      <c r="L155" s="29"/>
    </row>
    <row r="156" ht="15.75" customHeight="1">
      <c r="C156" s="29"/>
      <c r="D156" s="30"/>
      <c r="F156" s="30"/>
      <c r="I156" s="29"/>
      <c r="J156" s="29"/>
      <c r="L156" s="29"/>
    </row>
    <row r="157" ht="15.75" customHeight="1">
      <c r="C157" s="29"/>
      <c r="D157" s="30"/>
      <c r="F157" s="30"/>
      <c r="I157" s="29"/>
      <c r="J157" s="29"/>
      <c r="L157" s="29"/>
    </row>
    <row r="158" ht="15.75" customHeight="1">
      <c r="C158" s="29"/>
      <c r="D158" s="30"/>
      <c r="F158" s="30"/>
      <c r="I158" s="29"/>
      <c r="J158" s="29"/>
      <c r="L158" s="29"/>
    </row>
    <row r="159" ht="15.75" customHeight="1">
      <c r="C159" s="29"/>
      <c r="D159" s="30"/>
      <c r="F159" s="30"/>
      <c r="I159" s="29"/>
      <c r="J159" s="29"/>
      <c r="L159" s="29"/>
    </row>
    <row r="160" ht="15.75" customHeight="1">
      <c r="C160" s="29"/>
      <c r="D160" s="30"/>
      <c r="F160" s="30"/>
      <c r="I160" s="29"/>
      <c r="J160" s="29"/>
      <c r="L160" s="29"/>
    </row>
    <row r="161" ht="15.75" customHeight="1">
      <c r="C161" s="29"/>
      <c r="D161" s="30"/>
      <c r="F161" s="30"/>
      <c r="I161" s="29"/>
      <c r="J161" s="29"/>
      <c r="L161" s="29"/>
    </row>
    <row r="162" ht="15.75" customHeight="1">
      <c r="C162" s="29"/>
      <c r="D162" s="30"/>
      <c r="F162" s="30"/>
      <c r="I162" s="29"/>
      <c r="J162" s="29"/>
      <c r="L162" s="29"/>
    </row>
    <row r="163" ht="15.75" customHeight="1">
      <c r="C163" s="29"/>
      <c r="D163" s="30"/>
      <c r="F163" s="30"/>
      <c r="I163" s="29"/>
      <c r="J163" s="29"/>
      <c r="L163" s="29"/>
    </row>
    <row r="164" ht="15.75" customHeight="1">
      <c r="C164" s="29"/>
      <c r="D164" s="30"/>
      <c r="F164" s="30"/>
      <c r="I164" s="29"/>
      <c r="J164" s="29"/>
      <c r="L164" s="29"/>
    </row>
    <row r="165" ht="15.75" customHeight="1">
      <c r="C165" s="29"/>
      <c r="D165" s="30"/>
      <c r="F165" s="30"/>
      <c r="I165" s="29"/>
      <c r="J165" s="29"/>
      <c r="L165" s="29"/>
    </row>
    <row r="166" ht="15.75" customHeight="1">
      <c r="C166" s="29"/>
      <c r="D166" s="30"/>
      <c r="F166" s="30"/>
      <c r="I166" s="29"/>
      <c r="J166" s="29"/>
      <c r="L166" s="29"/>
    </row>
    <row r="167" ht="15.75" customHeight="1">
      <c r="C167" s="29"/>
      <c r="D167" s="30"/>
      <c r="F167" s="30"/>
      <c r="I167" s="29"/>
      <c r="J167" s="29"/>
      <c r="L167" s="29"/>
    </row>
    <row r="168" ht="15.75" customHeight="1">
      <c r="C168" s="29"/>
      <c r="D168" s="30"/>
      <c r="F168" s="30"/>
      <c r="I168" s="29"/>
      <c r="J168" s="29"/>
      <c r="L168" s="29"/>
    </row>
    <row r="169" ht="15.75" customHeight="1">
      <c r="C169" s="29"/>
      <c r="D169" s="30"/>
      <c r="F169" s="30"/>
      <c r="I169" s="29"/>
      <c r="J169" s="29"/>
      <c r="L169" s="29"/>
    </row>
    <row r="170" ht="15.75" customHeight="1">
      <c r="C170" s="29"/>
      <c r="D170" s="30"/>
      <c r="F170" s="30"/>
      <c r="I170" s="29"/>
      <c r="J170" s="29"/>
      <c r="L170" s="29"/>
    </row>
    <row r="171" ht="15.75" customHeight="1">
      <c r="C171" s="29"/>
      <c r="D171" s="30"/>
      <c r="F171" s="30"/>
      <c r="I171" s="29"/>
      <c r="J171" s="29"/>
      <c r="L171" s="29"/>
    </row>
    <row r="172" ht="15.75" customHeight="1">
      <c r="C172" s="29"/>
      <c r="D172" s="30"/>
      <c r="F172" s="30"/>
      <c r="I172" s="29"/>
      <c r="J172" s="29"/>
      <c r="L172" s="29"/>
    </row>
    <row r="173" ht="15.75" customHeight="1">
      <c r="C173" s="29"/>
      <c r="D173" s="30"/>
      <c r="F173" s="30"/>
      <c r="I173" s="29"/>
      <c r="J173" s="29"/>
      <c r="L173" s="29"/>
    </row>
    <row r="174" ht="15.75" customHeight="1">
      <c r="C174" s="29"/>
      <c r="D174" s="30"/>
      <c r="F174" s="30"/>
      <c r="I174" s="29"/>
      <c r="J174" s="29"/>
      <c r="L174" s="29"/>
    </row>
    <row r="175" ht="15.75" customHeight="1">
      <c r="C175" s="29"/>
      <c r="D175" s="30"/>
      <c r="F175" s="30"/>
      <c r="I175" s="29"/>
      <c r="J175" s="29"/>
      <c r="L175" s="29"/>
    </row>
    <row r="176" ht="15.75" customHeight="1">
      <c r="C176" s="29"/>
      <c r="D176" s="30"/>
      <c r="F176" s="30"/>
      <c r="I176" s="29"/>
      <c r="J176" s="29"/>
      <c r="L176" s="29"/>
    </row>
    <row r="177" ht="15.75" customHeight="1">
      <c r="C177" s="29"/>
      <c r="D177" s="30"/>
      <c r="F177" s="30"/>
      <c r="I177" s="29"/>
      <c r="J177" s="29"/>
      <c r="L177" s="29"/>
    </row>
    <row r="178" ht="15.75" customHeight="1">
      <c r="C178" s="29"/>
      <c r="D178" s="30"/>
      <c r="F178" s="30"/>
      <c r="I178" s="29"/>
      <c r="J178" s="29"/>
      <c r="L178" s="29"/>
    </row>
    <row r="179" ht="15.75" customHeight="1">
      <c r="C179" s="29"/>
      <c r="D179" s="30"/>
      <c r="F179" s="30"/>
      <c r="I179" s="29"/>
      <c r="J179" s="29"/>
      <c r="L179" s="29"/>
    </row>
    <row r="180" ht="15.75" customHeight="1">
      <c r="C180" s="29"/>
      <c r="D180" s="30"/>
      <c r="F180" s="30"/>
      <c r="I180" s="29"/>
      <c r="J180" s="29"/>
      <c r="L180" s="29"/>
    </row>
    <row r="181" ht="15.75" customHeight="1">
      <c r="C181" s="29"/>
      <c r="D181" s="30"/>
      <c r="F181" s="30"/>
      <c r="I181" s="29"/>
      <c r="J181" s="29"/>
      <c r="L181" s="29"/>
    </row>
    <row r="182" ht="15.75" customHeight="1">
      <c r="C182" s="29"/>
      <c r="D182" s="30"/>
      <c r="F182" s="30"/>
      <c r="I182" s="29"/>
      <c r="J182" s="29"/>
      <c r="L182" s="29"/>
    </row>
    <row r="183" ht="15.75" customHeight="1">
      <c r="C183" s="29"/>
      <c r="D183" s="30"/>
      <c r="F183" s="30"/>
      <c r="I183" s="29"/>
      <c r="J183" s="29"/>
      <c r="L183" s="29"/>
    </row>
    <row r="184" ht="15.75" customHeight="1">
      <c r="C184" s="29"/>
      <c r="D184" s="30"/>
      <c r="F184" s="30"/>
      <c r="I184" s="29"/>
      <c r="J184" s="29"/>
      <c r="L184" s="29"/>
    </row>
    <row r="185" ht="15.75" customHeight="1">
      <c r="C185" s="29"/>
      <c r="D185" s="30"/>
      <c r="F185" s="30"/>
      <c r="I185" s="29"/>
      <c r="J185" s="29"/>
      <c r="L185" s="29"/>
    </row>
    <row r="186" ht="15.75" customHeight="1">
      <c r="C186" s="29"/>
      <c r="D186" s="30"/>
      <c r="F186" s="30"/>
      <c r="I186" s="29"/>
      <c r="J186" s="29"/>
      <c r="L186" s="29"/>
    </row>
    <row r="187" ht="15.75" customHeight="1">
      <c r="C187" s="29"/>
      <c r="D187" s="30"/>
      <c r="F187" s="30"/>
      <c r="I187" s="29"/>
      <c r="J187" s="29"/>
      <c r="L187" s="29"/>
    </row>
    <row r="188" ht="15.75" customHeight="1">
      <c r="C188" s="29"/>
      <c r="D188" s="30"/>
      <c r="F188" s="30"/>
      <c r="I188" s="29"/>
      <c r="J188" s="29"/>
      <c r="L188" s="29"/>
    </row>
    <row r="189" ht="15.75" customHeight="1">
      <c r="C189" s="29"/>
      <c r="D189" s="30"/>
      <c r="F189" s="30"/>
      <c r="I189" s="29"/>
      <c r="J189" s="29"/>
      <c r="L189" s="29"/>
    </row>
    <row r="190" ht="15.75" customHeight="1">
      <c r="C190" s="29"/>
      <c r="D190" s="30"/>
      <c r="F190" s="30"/>
      <c r="I190" s="29"/>
      <c r="J190" s="29"/>
      <c r="L190" s="29"/>
    </row>
    <row r="191" ht="15.75" customHeight="1">
      <c r="C191" s="29"/>
      <c r="D191" s="30"/>
      <c r="F191" s="30"/>
      <c r="I191" s="29"/>
      <c r="J191" s="29"/>
      <c r="L191" s="29"/>
    </row>
    <row r="192" ht="15.75" customHeight="1">
      <c r="C192" s="29"/>
      <c r="D192" s="30"/>
      <c r="F192" s="30"/>
      <c r="I192" s="29"/>
      <c r="J192" s="29"/>
      <c r="L192" s="29"/>
    </row>
    <row r="193" ht="15.75" customHeight="1">
      <c r="C193" s="29"/>
      <c r="D193" s="30"/>
      <c r="F193" s="30"/>
      <c r="I193" s="29"/>
      <c r="J193" s="29"/>
      <c r="L193" s="29"/>
    </row>
    <row r="194" ht="15.75" customHeight="1">
      <c r="C194" s="29"/>
      <c r="D194" s="30"/>
      <c r="F194" s="30"/>
      <c r="I194" s="29"/>
      <c r="J194" s="29"/>
      <c r="L194" s="29"/>
    </row>
    <row r="195" ht="15.75" customHeight="1">
      <c r="C195" s="29"/>
      <c r="D195" s="30"/>
      <c r="F195" s="30"/>
      <c r="I195" s="29"/>
      <c r="J195" s="29"/>
      <c r="L195" s="29"/>
    </row>
    <row r="196" ht="15.75" customHeight="1">
      <c r="C196" s="29"/>
      <c r="D196" s="30"/>
      <c r="F196" s="30"/>
      <c r="I196" s="29"/>
      <c r="J196" s="29"/>
      <c r="L196" s="29"/>
    </row>
    <row r="197" ht="15.75" customHeight="1">
      <c r="C197" s="29"/>
      <c r="D197" s="30"/>
      <c r="F197" s="30"/>
      <c r="I197" s="29"/>
      <c r="J197" s="29"/>
      <c r="L197" s="29"/>
    </row>
    <row r="198" ht="15.75" customHeight="1">
      <c r="C198" s="29"/>
      <c r="D198" s="30"/>
      <c r="F198" s="30"/>
      <c r="I198" s="29"/>
      <c r="J198" s="29"/>
      <c r="L198" s="29"/>
    </row>
    <row r="199" ht="15.75" customHeight="1">
      <c r="C199" s="29"/>
      <c r="D199" s="30"/>
      <c r="F199" s="30"/>
      <c r="I199" s="29"/>
      <c r="J199" s="29"/>
      <c r="L199" s="29"/>
    </row>
    <row r="200" ht="15.75" customHeight="1">
      <c r="C200" s="29"/>
      <c r="D200" s="30"/>
      <c r="F200" s="30"/>
      <c r="I200" s="29"/>
      <c r="J200" s="29"/>
      <c r="L200" s="29"/>
    </row>
    <row r="201" ht="15.75" customHeight="1">
      <c r="C201" s="29"/>
      <c r="D201" s="30"/>
      <c r="F201" s="30"/>
      <c r="I201" s="29"/>
      <c r="J201" s="29"/>
      <c r="L201" s="29"/>
    </row>
    <row r="202" ht="15.75" customHeight="1">
      <c r="C202" s="29"/>
      <c r="D202" s="30"/>
      <c r="F202" s="30"/>
      <c r="I202" s="29"/>
      <c r="J202" s="29"/>
      <c r="L202" s="29"/>
    </row>
    <row r="203" ht="15.75" customHeight="1">
      <c r="C203" s="29"/>
      <c r="D203" s="30"/>
      <c r="F203" s="30"/>
      <c r="I203" s="29"/>
      <c r="J203" s="29"/>
      <c r="L203" s="29"/>
    </row>
    <row r="204" ht="15.75" customHeight="1">
      <c r="C204" s="29"/>
      <c r="D204" s="30"/>
      <c r="F204" s="30"/>
      <c r="I204" s="29"/>
      <c r="J204" s="29"/>
      <c r="L204" s="29"/>
    </row>
    <row r="205" ht="15.75" customHeight="1">
      <c r="C205" s="29"/>
      <c r="D205" s="30"/>
      <c r="F205" s="30"/>
      <c r="I205" s="29"/>
      <c r="J205" s="29"/>
      <c r="L205" s="29"/>
    </row>
    <row r="206" ht="15.75" customHeight="1">
      <c r="C206" s="29"/>
      <c r="D206" s="30"/>
      <c r="F206" s="30"/>
      <c r="I206" s="29"/>
      <c r="J206" s="29"/>
      <c r="L206" s="29"/>
    </row>
    <row r="207" ht="15.75" customHeight="1">
      <c r="C207" s="29"/>
      <c r="D207" s="30"/>
      <c r="F207" s="30"/>
      <c r="I207" s="29"/>
      <c r="J207" s="29"/>
      <c r="L207" s="29"/>
    </row>
    <row r="208" ht="15.75" customHeight="1">
      <c r="C208" s="29"/>
      <c r="D208" s="30"/>
      <c r="F208" s="30"/>
      <c r="I208" s="29"/>
      <c r="J208" s="29"/>
      <c r="L208" s="29"/>
    </row>
    <row r="209" ht="15.75" customHeight="1">
      <c r="C209" s="29"/>
      <c r="D209" s="30"/>
      <c r="F209" s="30"/>
      <c r="I209" s="29"/>
      <c r="J209" s="29"/>
      <c r="L209" s="29"/>
    </row>
    <row r="210" ht="15.75" customHeight="1">
      <c r="C210" s="29"/>
      <c r="D210" s="30"/>
      <c r="F210" s="30"/>
      <c r="I210" s="29"/>
      <c r="J210" s="29"/>
      <c r="L210" s="29"/>
    </row>
    <row r="211" ht="15.75" customHeight="1">
      <c r="C211" s="29"/>
      <c r="D211" s="30"/>
      <c r="F211" s="30"/>
      <c r="I211" s="29"/>
      <c r="J211" s="29"/>
      <c r="L211" s="29"/>
    </row>
    <row r="212" ht="15.75" customHeight="1">
      <c r="C212" s="29"/>
      <c r="D212" s="30"/>
      <c r="F212" s="30"/>
      <c r="I212" s="29"/>
      <c r="J212" s="29"/>
      <c r="L212" s="29"/>
    </row>
    <row r="213" ht="15.75" customHeight="1">
      <c r="C213" s="29"/>
      <c r="D213" s="30"/>
      <c r="F213" s="30"/>
      <c r="I213" s="29"/>
      <c r="J213" s="29"/>
      <c r="L213" s="29"/>
    </row>
    <row r="214" ht="15.75" customHeight="1">
      <c r="C214" s="29"/>
      <c r="D214" s="30"/>
      <c r="F214" s="30"/>
      <c r="I214" s="29"/>
      <c r="J214" s="29"/>
      <c r="L214" s="29"/>
    </row>
    <row r="215" ht="15.75" customHeight="1">
      <c r="C215" s="29"/>
      <c r="D215" s="30"/>
      <c r="F215" s="30"/>
      <c r="I215" s="29"/>
      <c r="J215" s="29"/>
      <c r="L215" s="29"/>
    </row>
    <row r="216" ht="15.75" customHeight="1">
      <c r="C216" s="29"/>
      <c r="D216" s="30"/>
      <c r="F216" s="30"/>
      <c r="I216" s="29"/>
      <c r="J216" s="29"/>
      <c r="L216" s="29"/>
    </row>
    <row r="217" ht="15.75" customHeight="1">
      <c r="C217" s="29"/>
      <c r="D217" s="30"/>
      <c r="F217" s="30"/>
      <c r="I217" s="29"/>
      <c r="J217" s="29"/>
      <c r="L217" s="29"/>
    </row>
    <row r="218" ht="15.75" customHeight="1">
      <c r="C218" s="29"/>
      <c r="D218" s="30"/>
      <c r="F218" s="30"/>
      <c r="I218" s="29"/>
      <c r="J218" s="29"/>
      <c r="L218" s="29"/>
    </row>
    <row r="219" ht="15.75" customHeight="1">
      <c r="C219" s="29"/>
      <c r="D219" s="30"/>
      <c r="F219" s="30"/>
      <c r="I219" s="29"/>
      <c r="J219" s="29"/>
      <c r="L219" s="29"/>
    </row>
    <row r="220" ht="15.75" customHeight="1">
      <c r="C220" s="29"/>
      <c r="D220" s="30"/>
      <c r="F220" s="30"/>
      <c r="I220" s="29"/>
      <c r="J220" s="29"/>
      <c r="L220" s="29"/>
    </row>
    <row r="221" ht="15.75" customHeight="1">
      <c r="C221" s="29"/>
      <c r="D221" s="30"/>
      <c r="F221" s="30"/>
      <c r="I221" s="29"/>
      <c r="J221" s="29"/>
      <c r="L221" s="29"/>
    </row>
    <row r="222" ht="15.75" customHeight="1">
      <c r="C222" s="29"/>
      <c r="D222" s="30"/>
      <c r="F222" s="30"/>
      <c r="I222" s="29"/>
      <c r="J222" s="29"/>
      <c r="L222" s="29"/>
    </row>
    <row r="223" ht="15.75" customHeight="1">
      <c r="C223" s="29"/>
      <c r="D223" s="30"/>
      <c r="F223" s="30"/>
      <c r="I223" s="29"/>
      <c r="J223" s="29"/>
      <c r="L223" s="29"/>
    </row>
    <row r="224" ht="15.75" customHeight="1">
      <c r="C224" s="29"/>
      <c r="D224" s="30"/>
      <c r="F224" s="30"/>
      <c r="I224" s="29"/>
      <c r="J224" s="29"/>
      <c r="L224" s="29"/>
    </row>
    <row r="225" ht="15.75" customHeight="1">
      <c r="C225" s="29"/>
      <c r="D225" s="30"/>
      <c r="F225" s="30"/>
      <c r="I225" s="29"/>
      <c r="J225" s="29"/>
      <c r="L225" s="29"/>
    </row>
    <row r="226" ht="15.75" customHeight="1">
      <c r="C226" s="29"/>
      <c r="D226" s="30"/>
      <c r="F226" s="30"/>
      <c r="I226" s="29"/>
      <c r="J226" s="29"/>
      <c r="L226" s="29"/>
    </row>
    <row r="227" ht="15.75" customHeight="1">
      <c r="C227" s="29"/>
      <c r="D227" s="30"/>
      <c r="F227" s="30"/>
      <c r="I227" s="29"/>
      <c r="J227" s="29"/>
      <c r="L227" s="29"/>
    </row>
    <row r="228" ht="15.75" customHeight="1">
      <c r="C228" s="29"/>
      <c r="D228" s="30"/>
      <c r="F228" s="30"/>
      <c r="I228" s="29"/>
      <c r="J228" s="29"/>
      <c r="L228" s="29"/>
    </row>
    <row r="229" ht="15.75" customHeight="1">
      <c r="C229" s="29"/>
      <c r="D229" s="30"/>
      <c r="F229" s="30"/>
      <c r="I229" s="29"/>
      <c r="J229" s="29"/>
      <c r="L229" s="29"/>
    </row>
    <row r="230" ht="15.75" customHeight="1">
      <c r="C230" s="29"/>
      <c r="D230" s="30"/>
      <c r="F230" s="30"/>
      <c r="I230" s="29"/>
      <c r="J230" s="29"/>
      <c r="L230" s="29"/>
    </row>
    <row r="231" ht="15.75" customHeight="1">
      <c r="C231" s="29"/>
      <c r="D231" s="30"/>
      <c r="F231" s="30"/>
      <c r="I231" s="29"/>
      <c r="J231" s="29"/>
      <c r="L231" s="29"/>
    </row>
    <row r="232" ht="15.75" customHeight="1">
      <c r="C232" s="29"/>
      <c r="D232" s="30"/>
      <c r="F232" s="30"/>
      <c r="I232" s="29"/>
      <c r="J232" s="29"/>
      <c r="L232" s="29"/>
    </row>
    <row r="233" ht="15.75" customHeight="1">
      <c r="C233" s="29"/>
      <c r="D233" s="30"/>
      <c r="F233" s="30"/>
      <c r="I233" s="29"/>
      <c r="J233" s="29"/>
      <c r="L233" s="29"/>
    </row>
    <row r="234" ht="15.75" customHeight="1">
      <c r="C234" s="29"/>
      <c r="D234" s="30"/>
      <c r="F234" s="30"/>
      <c r="I234" s="29"/>
      <c r="J234" s="29"/>
      <c r="L234" s="29"/>
    </row>
    <row r="235" ht="15.75" customHeight="1">
      <c r="C235" s="29"/>
      <c r="D235" s="30"/>
      <c r="F235" s="30"/>
      <c r="I235" s="29"/>
      <c r="J235" s="29"/>
      <c r="L235" s="29"/>
    </row>
    <row r="236" ht="15.75" customHeight="1">
      <c r="C236" s="29"/>
      <c r="D236" s="30"/>
      <c r="F236" s="30"/>
      <c r="I236" s="29"/>
      <c r="J236" s="29"/>
      <c r="L236" s="29"/>
    </row>
    <row r="237" ht="15.75" customHeight="1">
      <c r="C237" s="29"/>
      <c r="D237" s="30"/>
      <c r="F237" s="30"/>
      <c r="I237" s="29"/>
      <c r="J237" s="29"/>
      <c r="L237" s="29"/>
    </row>
    <row r="238" ht="15.75" customHeight="1">
      <c r="C238" s="29"/>
      <c r="D238" s="30"/>
      <c r="F238" s="30"/>
      <c r="I238" s="29"/>
      <c r="J238" s="29"/>
      <c r="L238" s="29"/>
    </row>
    <row r="239" ht="15.75" customHeight="1">
      <c r="C239" s="29"/>
      <c r="D239" s="30"/>
      <c r="F239" s="30"/>
      <c r="I239" s="29"/>
      <c r="J239" s="29"/>
      <c r="L239" s="29"/>
    </row>
    <row r="240" ht="15.75" customHeight="1">
      <c r="C240" s="29"/>
      <c r="D240" s="30"/>
      <c r="F240" s="30"/>
      <c r="I240" s="29"/>
      <c r="J240" s="29"/>
      <c r="L240" s="29"/>
    </row>
    <row r="241" ht="15.75" customHeight="1">
      <c r="C241" s="29"/>
      <c r="D241" s="30"/>
      <c r="F241" s="30"/>
      <c r="I241" s="29"/>
      <c r="J241" s="29"/>
      <c r="L241" s="29"/>
    </row>
    <row r="242" ht="15.75" customHeight="1">
      <c r="C242" s="29"/>
      <c r="D242" s="30"/>
      <c r="F242" s="30"/>
      <c r="I242" s="29"/>
      <c r="J242" s="29"/>
      <c r="L242" s="29"/>
    </row>
    <row r="243" ht="15.75" customHeight="1">
      <c r="C243" s="29"/>
      <c r="D243" s="30"/>
      <c r="F243" s="30"/>
      <c r="I243" s="29"/>
      <c r="J243" s="29"/>
      <c r="L243" s="29"/>
    </row>
    <row r="244" ht="15.75" customHeight="1">
      <c r="C244" s="29"/>
      <c r="D244" s="30"/>
      <c r="F244" s="30"/>
      <c r="I244" s="29"/>
      <c r="J244" s="29"/>
      <c r="L244" s="29"/>
    </row>
    <row r="245" ht="15.75" customHeight="1">
      <c r="C245" s="29"/>
      <c r="D245" s="30"/>
      <c r="F245" s="30"/>
      <c r="I245" s="29"/>
      <c r="J245" s="29"/>
      <c r="L245" s="29"/>
    </row>
    <row r="246" ht="15.75" customHeight="1">
      <c r="C246" s="29"/>
      <c r="D246" s="30"/>
      <c r="F246" s="30"/>
      <c r="I246" s="29"/>
      <c r="J246" s="29"/>
      <c r="L246" s="29"/>
    </row>
    <row r="247" ht="15.75" customHeight="1">
      <c r="C247" s="29"/>
      <c r="D247" s="30"/>
      <c r="F247" s="30"/>
      <c r="I247" s="29"/>
      <c r="J247" s="29"/>
      <c r="L247" s="29"/>
    </row>
    <row r="248" ht="15.75" customHeight="1">
      <c r="C248" s="29"/>
      <c r="D248" s="30"/>
      <c r="F248" s="30"/>
      <c r="I248" s="29"/>
      <c r="J248" s="29"/>
      <c r="L248" s="29"/>
    </row>
    <row r="249" ht="15.75" customHeight="1">
      <c r="C249" s="29"/>
      <c r="D249" s="30"/>
      <c r="F249" s="30"/>
      <c r="I249" s="29"/>
      <c r="J249" s="29"/>
      <c r="L249" s="29"/>
    </row>
    <row r="250" ht="15.75" customHeight="1">
      <c r="C250" s="29"/>
      <c r="D250" s="30"/>
      <c r="F250" s="30"/>
      <c r="I250" s="29"/>
      <c r="J250" s="29"/>
      <c r="L250" s="29"/>
    </row>
    <row r="251" ht="15.75" customHeight="1">
      <c r="C251" s="29"/>
      <c r="D251" s="30"/>
      <c r="F251" s="30"/>
      <c r="I251" s="29"/>
      <c r="J251" s="29"/>
      <c r="L251" s="29"/>
    </row>
    <row r="252" ht="15.75" customHeight="1">
      <c r="C252" s="29"/>
      <c r="D252" s="30"/>
      <c r="F252" s="30"/>
      <c r="I252" s="29"/>
      <c r="J252" s="29"/>
      <c r="L252" s="29"/>
    </row>
    <row r="253" ht="15.75" customHeight="1">
      <c r="C253" s="29"/>
      <c r="D253" s="30"/>
      <c r="F253" s="30"/>
      <c r="I253" s="29"/>
      <c r="J253" s="29"/>
      <c r="L253" s="29"/>
    </row>
    <row r="254" ht="15.75" customHeight="1">
      <c r="C254" s="29"/>
      <c r="D254" s="30"/>
      <c r="F254" s="30"/>
      <c r="I254" s="29"/>
      <c r="J254" s="29"/>
      <c r="L254" s="29"/>
    </row>
    <row r="255" ht="15.75" customHeight="1">
      <c r="C255" s="29"/>
      <c r="D255" s="30"/>
      <c r="F255" s="30"/>
      <c r="I255" s="29"/>
      <c r="J255" s="29"/>
      <c r="L255" s="29"/>
    </row>
    <row r="256" ht="15.75" customHeight="1">
      <c r="C256" s="29"/>
      <c r="D256" s="30"/>
      <c r="F256" s="30"/>
      <c r="I256" s="29"/>
      <c r="J256" s="29"/>
      <c r="L256" s="29"/>
    </row>
    <row r="257" ht="15.75" customHeight="1">
      <c r="C257" s="29"/>
      <c r="D257" s="30"/>
      <c r="F257" s="30"/>
      <c r="I257" s="29"/>
      <c r="J257" s="29"/>
      <c r="L257" s="29"/>
    </row>
    <row r="258" ht="15.75" customHeight="1">
      <c r="C258" s="29"/>
      <c r="D258" s="30"/>
      <c r="F258" s="30"/>
      <c r="I258" s="29"/>
      <c r="J258" s="29"/>
      <c r="L258" s="29"/>
    </row>
    <row r="259" ht="15.75" customHeight="1">
      <c r="C259" s="29"/>
      <c r="D259" s="30"/>
      <c r="F259" s="30"/>
      <c r="I259" s="29"/>
      <c r="J259" s="29"/>
      <c r="L259" s="29"/>
    </row>
    <row r="260" ht="15.75" customHeight="1">
      <c r="C260" s="29"/>
      <c r="D260" s="30"/>
      <c r="F260" s="30"/>
      <c r="I260" s="29"/>
      <c r="J260" s="29"/>
      <c r="L260" s="29"/>
    </row>
    <row r="261" ht="15.75" customHeight="1">
      <c r="C261" s="29"/>
      <c r="D261" s="30"/>
      <c r="F261" s="30"/>
      <c r="I261" s="29"/>
      <c r="J261" s="29"/>
      <c r="L261" s="29"/>
    </row>
    <row r="262" ht="15.75" customHeight="1">
      <c r="C262" s="29"/>
      <c r="D262" s="30"/>
      <c r="F262" s="30"/>
      <c r="I262" s="29"/>
      <c r="J262" s="29"/>
      <c r="L262" s="29"/>
    </row>
    <row r="263" ht="15.75" customHeight="1">
      <c r="C263" s="29"/>
      <c r="D263" s="30"/>
      <c r="F263" s="30"/>
      <c r="I263" s="29"/>
      <c r="J263" s="29"/>
      <c r="L263" s="29"/>
    </row>
    <row r="264" ht="15.75" customHeight="1">
      <c r="C264" s="29"/>
      <c r="D264" s="30"/>
      <c r="F264" s="30"/>
      <c r="I264" s="29"/>
      <c r="J264" s="29"/>
      <c r="L264" s="29"/>
    </row>
    <row r="265" ht="15.75" customHeight="1">
      <c r="C265" s="29"/>
      <c r="D265" s="30"/>
      <c r="F265" s="30"/>
      <c r="I265" s="29"/>
      <c r="J265" s="29"/>
      <c r="L265" s="29"/>
    </row>
    <row r="266" ht="15.75" customHeight="1">
      <c r="C266" s="29"/>
      <c r="D266" s="30"/>
      <c r="F266" s="30"/>
      <c r="I266" s="29"/>
      <c r="J266" s="29"/>
      <c r="L266" s="29"/>
    </row>
    <row r="267" ht="15.75" customHeight="1">
      <c r="C267" s="29"/>
      <c r="D267" s="30"/>
      <c r="F267" s="30"/>
      <c r="I267" s="29"/>
      <c r="J267" s="29"/>
      <c r="L267" s="29"/>
    </row>
    <row r="268" ht="15.75" customHeight="1">
      <c r="C268" s="29"/>
      <c r="D268" s="30"/>
      <c r="F268" s="30"/>
      <c r="I268" s="29"/>
      <c r="J268" s="29"/>
      <c r="L268" s="29"/>
    </row>
    <row r="269" ht="15.75" customHeight="1">
      <c r="C269" s="29"/>
      <c r="D269" s="30"/>
      <c r="F269" s="30"/>
      <c r="I269" s="29"/>
      <c r="J269" s="29"/>
      <c r="L269" s="29"/>
    </row>
    <row r="270" ht="15.75" customHeight="1">
      <c r="C270" s="29"/>
      <c r="D270" s="30"/>
      <c r="F270" s="30"/>
      <c r="I270" s="29"/>
      <c r="J270" s="29"/>
      <c r="L270" s="29"/>
    </row>
    <row r="271" ht="15.75" customHeight="1">
      <c r="C271" s="29"/>
      <c r="D271" s="30"/>
      <c r="F271" s="30"/>
      <c r="I271" s="29"/>
      <c r="J271" s="29"/>
      <c r="L271" s="29"/>
    </row>
    <row r="272" ht="15.75" customHeight="1">
      <c r="C272" s="29"/>
      <c r="D272" s="30"/>
      <c r="F272" s="30"/>
      <c r="I272" s="29"/>
      <c r="J272" s="29"/>
      <c r="L272" s="29"/>
    </row>
    <row r="273" ht="15.75" customHeight="1">
      <c r="C273" s="29"/>
      <c r="D273" s="30"/>
      <c r="F273" s="30"/>
      <c r="I273" s="29"/>
      <c r="J273" s="29"/>
      <c r="L273" s="29"/>
    </row>
    <row r="274" ht="15.75" customHeight="1">
      <c r="C274" s="29"/>
      <c r="D274" s="30"/>
      <c r="F274" s="30"/>
      <c r="I274" s="29"/>
      <c r="J274" s="29"/>
      <c r="L274" s="29"/>
    </row>
    <row r="275" ht="15.75" customHeight="1">
      <c r="C275" s="29"/>
      <c r="D275" s="30"/>
      <c r="F275" s="30"/>
      <c r="I275" s="29"/>
      <c r="J275" s="29"/>
      <c r="L275" s="29"/>
    </row>
    <row r="276" ht="15.75" customHeight="1">
      <c r="C276" s="29"/>
      <c r="D276" s="30"/>
      <c r="F276" s="30"/>
      <c r="I276" s="29"/>
      <c r="J276" s="29"/>
      <c r="L276" s="29"/>
    </row>
    <row r="277" ht="15.75" customHeight="1">
      <c r="C277" s="29"/>
      <c r="D277" s="30"/>
      <c r="F277" s="30"/>
      <c r="I277" s="29"/>
      <c r="J277" s="29"/>
      <c r="L277" s="29"/>
    </row>
    <row r="278" ht="15.75" customHeight="1">
      <c r="C278" s="29"/>
      <c r="D278" s="30"/>
      <c r="F278" s="30"/>
      <c r="I278" s="29"/>
      <c r="J278" s="29"/>
      <c r="L278" s="29"/>
    </row>
    <row r="279" ht="15.75" customHeight="1">
      <c r="C279" s="29"/>
      <c r="D279" s="30"/>
      <c r="F279" s="30"/>
      <c r="I279" s="29"/>
      <c r="J279" s="29"/>
      <c r="L279" s="29"/>
    </row>
    <row r="280" ht="15.75" customHeight="1">
      <c r="C280" s="29"/>
      <c r="D280" s="30"/>
      <c r="F280" s="30"/>
      <c r="I280" s="29"/>
      <c r="J280" s="29"/>
      <c r="L280" s="29"/>
    </row>
    <row r="281" ht="15.75" customHeight="1">
      <c r="C281" s="29"/>
      <c r="D281" s="30"/>
      <c r="F281" s="30"/>
      <c r="I281" s="29"/>
      <c r="J281" s="29"/>
      <c r="L281" s="29"/>
    </row>
    <row r="282" ht="15.75" customHeight="1">
      <c r="C282" s="29"/>
      <c r="D282" s="30"/>
      <c r="F282" s="30"/>
      <c r="I282" s="29"/>
      <c r="J282" s="29"/>
      <c r="L282" s="29"/>
    </row>
    <row r="283" ht="15.75" customHeight="1">
      <c r="C283" s="29"/>
      <c r="D283" s="30"/>
      <c r="F283" s="30"/>
      <c r="I283" s="29"/>
      <c r="J283" s="29"/>
      <c r="L283" s="29"/>
    </row>
    <row r="284" ht="15.75" customHeight="1">
      <c r="C284" s="29"/>
      <c r="D284" s="30"/>
      <c r="F284" s="30"/>
      <c r="I284" s="29"/>
      <c r="J284" s="29"/>
      <c r="L284" s="29"/>
    </row>
    <row r="285" ht="15.75" customHeight="1">
      <c r="C285" s="29"/>
      <c r="D285" s="30"/>
      <c r="F285" s="30"/>
      <c r="I285" s="29"/>
      <c r="J285" s="29"/>
      <c r="L285" s="29"/>
    </row>
    <row r="286" ht="15.75" customHeight="1">
      <c r="C286" s="29"/>
      <c r="D286" s="30"/>
      <c r="F286" s="30"/>
      <c r="I286" s="29"/>
      <c r="J286" s="29"/>
      <c r="L286" s="29"/>
    </row>
    <row r="287" ht="15.75" customHeight="1">
      <c r="C287" s="29"/>
      <c r="D287" s="30"/>
      <c r="F287" s="30"/>
      <c r="I287" s="29"/>
      <c r="J287" s="29"/>
      <c r="L287" s="29"/>
    </row>
    <row r="288" ht="15.75" customHeight="1">
      <c r="C288" s="29"/>
      <c r="D288" s="30"/>
      <c r="F288" s="30"/>
      <c r="I288" s="29"/>
      <c r="J288" s="29"/>
      <c r="L288" s="29"/>
    </row>
    <row r="289" ht="15.75" customHeight="1">
      <c r="C289" s="29"/>
      <c r="D289" s="30"/>
      <c r="F289" s="30"/>
      <c r="I289" s="29"/>
      <c r="J289" s="29"/>
      <c r="L289" s="29"/>
    </row>
    <row r="290" ht="15.75" customHeight="1">
      <c r="C290" s="29"/>
      <c r="D290" s="30"/>
      <c r="F290" s="30"/>
      <c r="I290" s="29"/>
      <c r="J290" s="29"/>
      <c r="L290" s="29"/>
    </row>
    <row r="291" ht="15.75" customHeight="1">
      <c r="C291" s="29"/>
      <c r="D291" s="30"/>
      <c r="F291" s="30"/>
      <c r="I291" s="29"/>
      <c r="J291" s="29"/>
      <c r="L291" s="29"/>
    </row>
    <row r="292" ht="15.75" customHeight="1">
      <c r="C292" s="29"/>
      <c r="D292" s="30"/>
      <c r="F292" s="30"/>
      <c r="I292" s="29"/>
      <c r="J292" s="29"/>
      <c r="L292" s="29"/>
    </row>
    <row r="293" ht="15.75" customHeight="1">
      <c r="C293" s="29"/>
      <c r="D293" s="30"/>
      <c r="F293" s="30"/>
      <c r="I293" s="29"/>
      <c r="J293" s="29"/>
      <c r="L293" s="29"/>
    </row>
    <row r="294" ht="15.75" customHeight="1">
      <c r="C294" s="29"/>
      <c r="D294" s="30"/>
      <c r="F294" s="30"/>
      <c r="I294" s="29"/>
      <c r="J294" s="29"/>
      <c r="L294" s="29"/>
    </row>
    <row r="295" ht="15.75" customHeight="1">
      <c r="C295" s="29"/>
      <c r="D295" s="30"/>
      <c r="F295" s="30"/>
      <c r="I295" s="29"/>
      <c r="J295" s="29"/>
      <c r="L295" s="29"/>
    </row>
    <row r="296" ht="15.75" customHeight="1">
      <c r="C296" s="29"/>
      <c r="D296" s="30"/>
      <c r="F296" s="30"/>
      <c r="I296" s="29"/>
      <c r="J296" s="29"/>
      <c r="L296" s="29"/>
    </row>
    <row r="297" ht="15.75" customHeight="1">
      <c r="C297" s="29"/>
      <c r="D297" s="30"/>
      <c r="F297" s="30"/>
      <c r="I297" s="29"/>
      <c r="J297" s="29"/>
      <c r="L297" s="29"/>
    </row>
    <row r="298" ht="15.75" customHeight="1">
      <c r="C298" s="29"/>
      <c r="D298" s="30"/>
      <c r="F298" s="30"/>
      <c r="I298" s="29"/>
      <c r="J298" s="29"/>
      <c r="L298" s="29"/>
    </row>
    <row r="299" ht="15.75" customHeight="1">
      <c r="C299" s="29"/>
      <c r="D299" s="30"/>
      <c r="F299" s="30"/>
      <c r="I299" s="29"/>
      <c r="J299" s="29"/>
      <c r="L299" s="29"/>
    </row>
    <row r="300" ht="15.75" customHeight="1">
      <c r="C300" s="29"/>
      <c r="D300" s="30"/>
      <c r="F300" s="30"/>
      <c r="I300" s="29"/>
      <c r="J300" s="29"/>
      <c r="L300" s="29"/>
    </row>
    <row r="301" ht="15.75" customHeight="1">
      <c r="C301" s="29"/>
      <c r="D301" s="30"/>
      <c r="F301" s="30"/>
      <c r="I301" s="29"/>
      <c r="J301" s="29"/>
      <c r="L301" s="29"/>
    </row>
    <row r="302" ht="15.75" customHeight="1">
      <c r="C302" s="29"/>
      <c r="D302" s="30"/>
      <c r="F302" s="30"/>
      <c r="I302" s="29"/>
      <c r="J302" s="29"/>
      <c r="L302" s="29"/>
    </row>
    <row r="303" ht="15.75" customHeight="1">
      <c r="C303" s="29"/>
      <c r="D303" s="30"/>
      <c r="F303" s="30"/>
      <c r="I303" s="29"/>
      <c r="J303" s="29"/>
      <c r="L303" s="29"/>
    </row>
    <row r="304" ht="15.75" customHeight="1">
      <c r="C304" s="29"/>
      <c r="D304" s="30"/>
      <c r="F304" s="30"/>
      <c r="I304" s="29"/>
      <c r="J304" s="29"/>
      <c r="L304" s="29"/>
    </row>
    <row r="305" ht="15.75" customHeight="1">
      <c r="C305" s="29"/>
      <c r="D305" s="30"/>
      <c r="F305" s="30"/>
      <c r="I305" s="29"/>
      <c r="J305" s="29"/>
      <c r="L305" s="29"/>
    </row>
    <row r="306" ht="15.75" customHeight="1">
      <c r="C306" s="29"/>
      <c r="D306" s="30"/>
      <c r="F306" s="30"/>
      <c r="I306" s="29"/>
      <c r="J306" s="29"/>
      <c r="L306" s="29"/>
    </row>
    <row r="307" ht="15.75" customHeight="1">
      <c r="C307" s="29"/>
      <c r="D307" s="30"/>
      <c r="F307" s="30"/>
      <c r="I307" s="29"/>
      <c r="J307" s="29"/>
      <c r="L307" s="29"/>
    </row>
    <row r="308" ht="15.75" customHeight="1">
      <c r="C308" s="29"/>
      <c r="D308" s="30"/>
      <c r="F308" s="30"/>
      <c r="I308" s="29"/>
      <c r="J308" s="29"/>
      <c r="L308" s="29"/>
    </row>
    <row r="309" ht="15.75" customHeight="1">
      <c r="C309" s="29"/>
      <c r="D309" s="30"/>
      <c r="F309" s="30"/>
      <c r="I309" s="29"/>
      <c r="J309" s="29"/>
      <c r="L309" s="29"/>
    </row>
    <row r="310" ht="15.75" customHeight="1">
      <c r="C310" s="29"/>
      <c r="D310" s="30"/>
      <c r="F310" s="30"/>
      <c r="I310" s="29"/>
      <c r="J310" s="29"/>
      <c r="L310" s="29"/>
    </row>
    <row r="311" ht="15.75" customHeight="1">
      <c r="C311" s="29"/>
      <c r="D311" s="30"/>
      <c r="F311" s="30"/>
      <c r="I311" s="29"/>
      <c r="J311" s="29"/>
      <c r="L311" s="29"/>
    </row>
    <row r="312" ht="15.75" customHeight="1">
      <c r="C312" s="29"/>
      <c r="D312" s="30"/>
      <c r="F312" s="30"/>
      <c r="I312" s="29"/>
      <c r="J312" s="29"/>
      <c r="L312" s="29"/>
    </row>
    <row r="313" ht="15.75" customHeight="1">
      <c r="C313" s="29"/>
      <c r="D313" s="30"/>
      <c r="F313" s="30"/>
      <c r="I313" s="29"/>
      <c r="J313" s="29"/>
      <c r="L313" s="29"/>
    </row>
    <row r="314" ht="15.75" customHeight="1">
      <c r="C314" s="29"/>
      <c r="D314" s="30"/>
      <c r="F314" s="30"/>
      <c r="I314" s="29"/>
      <c r="J314" s="29"/>
      <c r="L314" s="29"/>
    </row>
    <row r="315" ht="15.75" customHeight="1">
      <c r="C315" s="29"/>
      <c r="D315" s="30"/>
      <c r="F315" s="30"/>
      <c r="I315" s="29"/>
      <c r="J315" s="29"/>
      <c r="L315" s="29"/>
    </row>
    <row r="316" ht="15.75" customHeight="1">
      <c r="C316" s="29"/>
      <c r="D316" s="30"/>
      <c r="F316" s="30"/>
      <c r="I316" s="29"/>
      <c r="J316" s="29"/>
      <c r="L316" s="29"/>
    </row>
    <row r="317" ht="15.75" customHeight="1">
      <c r="C317" s="29"/>
      <c r="D317" s="30"/>
      <c r="F317" s="30"/>
      <c r="I317" s="29"/>
      <c r="J317" s="29"/>
      <c r="L317" s="29"/>
    </row>
    <row r="318" ht="15.75" customHeight="1">
      <c r="C318" s="29"/>
      <c r="D318" s="30"/>
      <c r="F318" s="30"/>
      <c r="I318" s="29"/>
      <c r="J318" s="29"/>
      <c r="L318" s="29"/>
    </row>
    <row r="319" ht="15.75" customHeight="1">
      <c r="C319" s="29"/>
      <c r="D319" s="30"/>
      <c r="F319" s="30"/>
      <c r="I319" s="29"/>
      <c r="J319" s="29"/>
      <c r="L319" s="29"/>
    </row>
    <row r="320" ht="15.75" customHeight="1">
      <c r="C320" s="29"/>
      <c r="D320" s="30"/>
      <c r="F320" s="30"/>
      <c r="I320" s="29"/>
      <c r="J320" s="29"/>
      <c r="L320" s="29"/>
    </row>
    <row r="321" ht="15.75" customHeight="1">
      <c r="C321" s="29"/>
      <c r="D321" s="30"/>
      <c r="F321" s="30"/>
      <c r="I321" s="29"/>
      <c r="J321" s="29"/>
      <c r="L321" s="29"/>
    </row>
    <row r="322" ht="15.75" customHeight="1">
      <c r="C322" s="29"/>
      <c r="D322" s="30"/>
      <c r="F322" s="30"/>
      <c r="I322" s="29"/>
      <c r="J322" s="29"/>
      <c r="L322" s="29"/>
    </row>
    <row r="323" ht="15.75" customHeight="1">
      <c r="C323" s="29"/>
      <c r="D323" s="30"/>
      <c r="F323" s="30"/>
      <c r="I323" s="29"/>
      <c r="J323" s="29"/>
      <c r="L323" s="29"/>
    </row>
    <row r="324" ht="15.75" customHeight="1">
      <c r="C324" s="29"/>
      <c r="D324" s="30"/>
      <c r="F324" s="30"/>
      <c r="I324" s="29"/>
      <c r="J324" s="29"/>
      <c r="L324" s="29"/>
    </row>
    <row r="325" ht="15.75" customHeight="1">
      <c r="C325" s="29"/>
      <c r="D325" s="30"/>
      <c r="F325" s="30"/>
      <c r="I325" s="29"/>
      <c r="J325" s="29"/>
      <c r="L325" s="29"/>
    </row>
    <row r="326" ht="15.75" customHeight="1">
      <c r="C326" s="29"/>
      <c r="D326" s="30"/>
      <c r="F326" s="30"/>
      <c r="I326" s="29"/>
      <c r="J326" s="29"/>
      <c r="L326" s="29"/>
    </row>
    <row r="327" ht="15.75" customHeight="1">
      <c r="C327" s="29"/>
      <c r="D327" s="30"/>
      <c r="F327" s="30"/>
      <c r="I327" s="29"/>
      <c r="J327" s="29"/>
      <c r="L327" s="29"/>
    </row>
    <row r="328" ht="15.75" customHeight="1">
      <c r="C328" s="29"/>
      <c r="D328" s="30"/>
      <c r="F328" s="30"/>
      <c r="I328" s="29"/>
      <c r="J328" s="29"/>
      <c r="L328" s="29"/>
    </row>
    <row r="329" ht="15.75" customHeight="1">
      <c r="C329" s="29"/>
      <c r="D329" s="30"/>
      <c r="F329" s="30"/>
      <c r="I329" s="29"/>
      <c r="J329" s="29"/>
      <c r="L329" s="29"/>
    </row>
    <row r="330" ht="15.75" customHeight="1">
      <c r="C330" s="29"/>
      <c r="D330" s="30"/>
      <c r="F330" s="30"/>
      <c r="I330" s="29"/>
      <c r="J330" s="29"/>
      <c r="L330" s="29"/>
    </row>
    <row r="331" ht="15.75" customHeight="1">
      <c r="C331" s="29"/>
      <c r="D331" s="30"/>
      <c r="F331" s="30"/>
      <c r="I331" s="29"/>
      <c r="J331" s="29"/>
      <c r="L331" s="29"/>
    </row>
    <row r="332" ht="15.75" customHeight="1">
      <c r="C332" s="29"/>
      <c r="D332" s="30"/>
      <c r="F332" s="30"/>
      <c r="I332" s="29"/>
      <c r="J332" s="29"/>
      <c r="L332" s="29"/>
    </row>
    <row r="333" ht="15.75" customHeight="1">
      <c r="C333" s="29"/>
      <c r="D333" s="30"/>
      <c r="F333" s="30"/>
      <c r="I333" s="29"/>
      <c r="J333" s="29"/>
      <c r="L333" s="29"/>
    </row>
    <row r="334" ht="15.75" customHeight="1">
      <c r="C334" s="29"/>
      <c r="D334" s="30"/>
      <c r="F334" s="30"/>
      <c r="I334" s="29"/>
      <c r="J334" s="29"/>
      <c r="L334" s="29"/>
    </row>
    <row r="335" ht="15.75" customHeight="1">
      <c r="C335" s="29"/>
      <c r="D335" s="30"/>
      <c r="F335" s="30"/>
      <c r="I335" s="29"/>
      <c r="J335" s="29"/>
      <c r="L335" s="29"/>
    </row>
    <row r="336" ht="15.75" customHeight="1">
      <c r="C336" s="29"/>
      <c r="D336" s="30"/>
      <c r="F336" s="30"/>
      <c r="I336" s="29"/>
      <c r="J336" s="29"/>
      <c r="L336" s="29"/>
    </row>
    <row r="337" ht="15.75" customHeight="1">
      <c r="C337" s="29"/>
      <c r="D337" s="30"/>
      <c r="F337" s="30"/>
      <c r="I337" s="29"/>
      <c r="J337" s="29"/>
      <c r="L337" s="29"/>
    </row>
    <row r="338" ht="15.75" customHeight="1">
      <c r="C338" s="29"/>
      <c r="D338" s="30"/>
      <c r="F338" s="30"/>
      <c r="I338" s="29"/>
      <c r="J338" s="29"/>
      <c r="L338" s="29"/>
    </row>
    <row r="339" ht="15.75" customHeight="1">
      <c r="C339" s="29"/>
      <c r="D339" s="30"/>
      <c r="F339" s="30"/>
      <c r="I339" s="29"/>
      <c r="J339" s="29"/>
      <c r="L339" s="29"/>
    </row>
    <row r="340" ht="15.75" customHeight="1">
      <c r="C340" s="29"/>
      <c r="D340" s="30"/>
      <c r="F340" s="30"/>
      <c r="I340" s="29"/>
      <c r="J340" s="29"/>
      <c r="L340" s="29"/>
    </row>
    <row r="341" ht="15.75" customHeight="1">
      <c r="C341" s="29"/>
      <c r="D341" s="30"/>
      <c r="F341" s="30"/>
      <c r="I341" s="29"/>
      <c r="J341" s="29"/>
      <c r="L341" s="29"/>
    </row>
    <row r="342" ht="15.75" customHeight="1">
      <c r="C342" s="29"/>
      <c r="D342" s="30"/>
      <c r="F342" s="30"/>
      <c r="I342" s="29"/>
      <c r="J342" s="29"/>
      <c r="L342" s="29"/>
    </row>
    <row r="343" ht="15.75" customHeight="1">
      <c r="C343" s="29"/>
      <c r="D343" s="30"/>
      <c r="F343" s="30"/>
      <c r="I343" s="29"/>
      <c r="J343" s="29"/>
      <c r="L343" s="29"/>
    </row>
    <row r="344" ht="15.75" customHeight="1">
      <c r="C344" s="29"/>
      <c r="D344" s="30"/>
      <c r="F344" s="30"/>
      <c r="I344" s="29"/>
      <c r="J344" s="29"/>
      <c r="L344" s="29"/>
    </row>
    <row r="345" ht="15.75" customHeight="1">
      <c r="C345" s="29"/>
      <c r="D345" s="30"/>
      <c r="F345" s="30"/>
      <c r="I345" s="29"/>
      <c r="J345" s="29"/>
      <c r="L345" s="29"/>
    </row>
    <row r="346" ht="15.75" customHeight="1">
      <c r="C346" s="29"/>
      <c r="D346" s="30"/>
      <c r="F346" s="30"/>
      <c r="I346" s="29"/>
      <c r="J346" s="29"/>
      <c r="L346" s="29"/>
    </row>
    <row r="347" ht="15.75" customHeight="1">
      <c r="C347" s="29"/>
      <c r="D347" s="30"/>
      <c r="F347" s="30"/>
      <c r="I347" s="29"/>
      <c r="J347" s="29"/>
      <c r="L347" s="29"/>
    </row>
    <row r="348" ht="15.75" customHeight="1">
      <c r="C348" s="29"/>
      <c r="D348" s="30"/>
      <c r="F348" s="30"/>
      <c r="I348" s="29"/>
      <c r="J348" s="29"/>
      <c r="L348" s="29"/>
    </row>
    <row r="349" ht="15.75" customHeight="1">
      <c r="C349" s="29"/>
      <c r="D349" s="30"/>
      <c r="F349" s="30"/>
      <c r="I349" s="29"/>
      <c r="J349" s="29"/>
      <c r="L349" s="29"/>
    </row>
    <row r="350" ht="15.75" customHeight="1">
      <c r="C350" s="29"/>
      <c r="D350" s="30"/>
      <c r="F350" s="30"/>
      <c r="I350" s="29"/>
      <c r="J350" s="29"/>
      <c r="L350" s="29"/>
    </row>
    <row r="351" ht="15.75" customHeight="1">
      <c r="C351" s="29"/>
      <c r="D351" s="30"/>
      <c r="F351" s="30"/>
      <c r="I351" s="29"/>
      <c r="J351" s="29"/>
      <c r="L351" s="29"/>
    </row>
    <row r="352" ht="15.75" customHeight="1">
      <c r="C352" s="29"/>
      <c r="D352" s="30"/>
      <c r="F352" s="30"/>
      <c r="I352" s="29"/>
      <c r="J352" s="29"/>
      <c r="L352" s="29"/>
    </row>
    <row r="353" ht="15.75" customHeight="1">
      <c r="C353" s="29"/>
      <c r="D353" s="30"/>
      <c r="F353" s="30"/>
      <c r="I353" s="29"/>
      <c r="J353" s="29"/>
      <c r="L353" s="29"/>
    </row>
    <row r="354" ht="15.75" customHeight="1">
      <c r="C354" s="29"/>
      <c r="D354" s="30"/>
      <c r="F354" s="30"/>
      <c r="I354" s="29"/>
      <c r="J354" s="29"/>
      <c r="L354" s="29"/>
    </row>
    <row r="355" ht="15.75" customHeight="1">
      <c r="C355" s="29"/>
      <c r="D355" s="30"/>
      <c r="F355" s="30"/>
      <c r="I355" s="29"/>
      <c r="J355" s="29"/>
      <c r="L355" s="29"/>
    </row>
    <row r="356" ht="15.75" customHeight="1">
      <c r="C356" s="29"/>
      <c r="D356" s="30"/>
      <c r="F356" s="30"/>
      <c r="I356" s="29"/>
      <c r="J356" s="29"/>
      <c r="L356" s="29"/>
    </row>
    <row r="357" ht="15.75" customHeight="1">
      <c r="C357" s="29"/>
      <c r="D357" s="30"/>
      <c r="F357" s="30"/>
      <c r="I357" s="29"/>
      <c r="J357" s="29"/>
      <c r="L357" s="29"/>
    </row>
    <row r="358" ht="15.75" customHeight="1">
      <c r="C358" s="29"/>
      <c r="D358" s="30"/>
      <c r="F358" s="30"/>
      <c r="I358" s="29"/>
      <c r="J358" s="29"/>
      <c r="L358" s="29"/>
    </row>
    <row r="359" ht="15.75" customHeight="1">
      <c r="C359" s="29"/>
      <c r="D359" s="30"/>
      <c r="F359" s="30"/>
      <c r="I359" s="29"/>
      <c r="J359" s="29"/>
      <c r="L359" s="29"/>
    </row>
    <row r="360" ht="15.75" customHeight="1">
      <c r="C360" s="29"/>
      <c r="D360" s="30"/>
      <c r="F360" s="30"/>
      <c r="I360" s="29"/>
      <c r="J360" s="29"/>
      <c r="L360" s="29"/>
    </row>
    <row r="361" ht="15.75" customHeight="1">
      <c r="C361" s="29"/>
      <c r="D361" s="30"/>
      <c r="F361" s="30"/>
      <c r="I361" s="29"/>
      <c r="J361" s="29"/>
      <c r="L361" s="29"/>
    </row>
    <row r="362" ht="15.75" customHeight="1">
      <c r="C362" s="29"/>
      <c r="D362" s="30"/>
      <c r="F362" s="30"/>
      <c r="I362" s="29"/>
      <c r="J362" s="29"/>
      <c r="L362" s="29"/>
    </row>
    <row r="363" ht="15.75" customHeight="1">
      <c r="C363" s="29"/>
      <c r="D363" s="30"/>
      <c r="F363" s="30"/>
      <c r="I363" s="29"/>
      <c r="J363" s="29"/>
      <c r="L363" s="29"/>
    </row>
    <row r="364" ht="15.75" customHeight="1">
      <c r="C364" s="29"/>
      <c r="D364" s="30"/>
      <c r="F364" s="30"/>
      <c r="I364" s="29"/>
      <c r="J364" s="29"/>
      <c r="L364" s="29"/>
    </row>
    <row r="365" ht="15.75" customHeight="1">
      <c r="C365" s="29"/>
      <c r="D365" s="30"/>
      <c r="F365" s="30"/>
      <c r="I365" s="29"/>
      <c r="J365" s="29"/>
      <c r="L365" s="29"/>
    </row>
    <row r="366" ht="15.75" customHeight="1">
      <c r="C366" s="29"/>
      <c r="D366" s="30"/>
      <c r="F366" s="30"/>
      <c r="I366" s="29"/>
      <c r="J366" s="29"/>
      <c r="L366" s="29"/>
    </row>
    <row r="367" ht="15.75" customHeight="1">
      <c r="C367" s="29"/>
      <c r="D367" s="30"/>
      <c r="F367" s="30"/>
      <c r="I367" s="29"/>
      <c r="J367" s="29"/>
      <c r="L367" s="29"/>
    </row>
    <row r="368" ht="15.75" customHeight="1">
      <c r="C368" s="29"/>
      <c r="D368" s="30"/>
      <c r="F368" s="30"/>
      <c r="I368" s="29"/>
      <c r="J368" s="29"/>
      <c r="L368" s="29"/>
    </row>
    <row r="369" ht="15.75" customHeight="1">
      <c r="C369" s="29"/>
      <c r="D369" s="30"/>
      <c r="F369" s="30"/>
      <c r="I369" s="29"/>
      <c r="J369" s="29"/>
      <c r="L369" s="29"/>
    </row>
    <row r="370" ht="15.75" customHeight="1">
      <c r="C370" s="29"/>
      <c r="D370" s="30"/>
      <c r="F370" s="30"/>
      <c r="I370" s="29"/>
      <c r="J370" s="29"/>
      <c r="L370" s="29"/>
    </row>
    <row r="371" ht="15.75" customHeight="1">
      <c r="C371" s="29"/>
      <c r="D371" s="30"/>
      <c r="F371" s="30"/>
      <c r="I371" s="29"/>
      <c r="J371" s="29"/>
      <c r="L371" s="29"/>
    </row>
    <row r="372" ht="15.75" customHeight="1">
      <c r="C372" s="29"/>
      <c r="D372" s="30"/>
      <c r="F372" s="30"/>
      <c r="I372" s="29"/>
      <c r="J372" s="29"/>
      <c r="L372" s="29"/>
    </row>
    <row r="373" ht="15.75" customHeight="1">
      <c r="C373" s="29"/>
      <c r="D373" s="30"/>
      <c r="F373" s="30"/>
      <c r="I373" s="29"/>
      <c r="J373" s="29"/>
      <c r="L373" s="29"/>
    </row>
    <row r="374" ht="15.75" customHeight="1">
      <c r="C374" s="29"/>
      <c r="D374" s="30"/>
      <c r="F374" s="30"/>
      <c r="I374" s="29"/>
      <c r="J374" s="29"/>
      <c r="L374" s="29"/>
    </row>
    <row r="375" ht="15.75" customHeight="1">
      <c r="C375" s="29"/>
      <c r="D375" s="30"/>
      <c r="F375" s="30"/>
      <c r="I375" s="29"/>
      <c r="J375" s="29"/>
      <c r="L375" s="29"/>
    </row>
    <row r="376" ht="15.75" customHeight="1">
      <c r="C376" s="29"/>
      <c r="D376" s="30"/>
      <c r="F376" s="30"/>
      <c r="I376" s="29"/>
      <c r="J376" s="29"/>
      <c r="L376" s="29"/>
    </row>
    <row r="377" ht="15.75" customHeight="1">
      <c r="C377" s="29"/>
      <c r="D377" s="30"/>
      <c r="F377" s="30"/>
      <c r="I377" s="29"/>
      <c r="J377" s="29"/>
      <c r="L377" s="29"/>
    </row>
    <row r="378" ht="15.75" customHeight="1">
      <c r="C378" s="29"/>
      <c r="D378" s="30"/>
      <c r="F378" s="30"/>
      <c r="I378" s="29"/>
      <c r="J378" s="29"/>
      <c r="L378" s="29"/>
    </row>
    <row r="379" ht="15.75" customHeight="1">
      <c r="C379" s="29"/>
      <c r="D379" s="30"/>
      <c r="F379" s="30"/>
      <c r="I379" s="29"/>
      <c r="J379" s="29"/>
      <c r="L379" s="29"/>
    </row>
    <row r="380" ht="15.75" customHeight="1">
      <c r="C380" s="29"/>
      <c r="D380" s="30"/>
      <c r="F380" s="30"/>
      <c r="I380" s="29"/>
      <c r="J380" s="29"/>
      <c r="L380" s="29"/>
    </row>
    <row r="381" ht="15.75" customHeight="1">
      <c r="C381" s="29"/>
      <c r="D381" s="30"/>
      <c r="F381" s="30"/>
      <c r="I381" s="29"/>
      <c r="J381" s="29"/>
      <c r="L381" s="29"/>
    </row>
    <row r="382" ht="15.75" customHeight="1">
      <c r="C382" s="29"/>
      <c r="D382" s="30"/>
      <c r="F382" s="30"/>
      <c r="I382" s="29"/>
      <c r="J382" s="29"/>
      <c r="L382" s="29"/>
    </row>
    <row r="383" ht="15.75" customHeight="1">
      <c r="C383" s="29"/>
      <c r="D383" s="30"/>
      <c r="F383" s="30"/>
      <c r="I383" s="29"/>
      <c r="J383" s="29"/>
      <c r="L383" s="29"/>
    </row>
    <row r="384" ht="15.75" customHeight="1">
      <c r="C384" s="29"/>
      <c r="D384" s="30"/>
      <c r="F384" s="30"/>
      <c r="I384" s="29"/>
      <c r="J384" s="29"/>
      <c r="L384" s="29"/>
    </row>
    <row r="385" ht="15.75" customHeight="1">
      <c r="C385" s="29"/>
      <c r="D385" s="30"/>
      <c r="F385" s="30"/>
      <c r="I385" s="29"/>
      <c r="J385" s="29"/>
      <c r="L385" s="29"/>
    </row>
    <row r="386" ht="15.75" customHeight="1">
      <c r="C386" s="29"/>
      <c r="D386" s="30"/>
      <c r="F386" s="30"/>
      <c r="I386" s="29"/>
      <c r="J386" s="29"/>
      <c r="L386" s="29"/>
    </row>
    <row r="387" ht="15.75" customHeight="1">
      <c r="C387" s="29"/>
      <c r="D387" s="30"/>
      <c r="F387" s="30"/>
      <c r="I387" s="29"/>
      <c r="J387" s="29"/>
      <c r="L387" s="29"/>
    </row>
    <row r="388" ht="15.75" customHeight="1">
      <c r="C388" s="29"/>
      <c r="D388" s="30"/>
      <c r="F388" s="30"/>
      <c r="I388" s="29"/>
      <c r="J388" s="29"/>
      <c r="L388" s="29"/>
    </row>
    <row r="389" ht="15.75" customHeight="1">
      <c r="C389" s="29"/>
      <c r="D389" s="30"/>
      <c r="F389" s="30"/>
      <c r="I389" s="29"/>
      <c r="J389" s="29"/>
      <c r="L389" s="29"/>
    </row>
    <row r="390" ht="15.75" customHeight="1">
      <c r="C390" s="29"/>
      <c r="D390" s="30"/>
      <c r="F390" s="30"/>
      <c r="I390" s="29"/>
      <c r="J390" s="29"/>
      <c r="L390" s="29"/>
    </row>
    <row r="391" ht="15.75" customHeight="1">
      <c r="C391" s="29"/>
      <c r="D391" s="30"/>
      <c r="F391" s="30"/>
      <c r="I391" s="29"/>
      <c r="J391" s="29"/>
      <c r="L391" s="29"/>
    </row>
    <row r="392" ht="15.75" customHeight="1">
      <c r="C392" s="29"/>
      <c r="D392" s="30"/>
      <c r="F392" s="30"/>
      <c r="I392" s="29"/>
      <c r="J392" s="29"/>
      <c r="L392" s="29"/>
    </row>
    <row r="393" ht="15.75" customHeight="1">
      <c r="C393" s="29"/>
      <c r="D393" s="30"/>
      <c r="F393" s="30"/>
      <c r="I393" s="29"/>
      <c r="J393" s="29"/>
      <c r="L393" s="29"/>
    </row>
    <row r="394" ht="15.75" customHeight="1">
      <c r="C394" s="29"/>
      <c r="D394" s="30"/>
      <c r="F394" s="30"/>
      <c r="I394" s="29"/>
      <c r="J394" s="29"/>
      <c r="L394" s="29"/>
    </row>
    <row r="395" ht="15.75" customHeight="1">
      <c r="C395" s="29"/>
      <c r="D395" s="30"/>
      <c r="F395" s="30"/>
      <c r="I395" s="29"/>
      <c r="J395" s="29"/>
      <c r="L395" s="29"/>
    </row>
    <row r="396" ht="15.75" customHeight="1">
      <c r="C396" s="29"/>
      <c r="D396" s="30"/>
      <c r="F396" s="30"/>
      <c r="I396" s="29"/>
      <c r="J396" s="29"/>
      <c r="L396" s="29"/>
    </row>
    <row r="397" ht="15.75" customHeight="1">
      <c r="C397" s="29"/>
      <c r="D397" s="30"/>
      <c r="F397" s="30"/>
      <c r="I397" s="29"/>
      <c r="J397" s="29"/>
      <c r="L397" s="29"/>
    </row>
    <row r="398" ht="15.75" customHeight="1">
      <c r="C398" s="29"/>
      <c r="D398" s="30"/>
      <c r="F398" s="30"/>
      <c r="I398" s="29"/>
      <c r="J398" s="29"/>
      <c r="L398" s="29"/>
    </row>
    <row r="399" ht="15.75" customHeight="1">
      <c r="C399" s="29"/>
      <c r="D399" s="30"/>
      <c r="F399" s="30"/>
      <c r="I399" s="29"/>
      <c r="J399" s="29"/>
      <c r="L399" s="29"/>
    </row>
    <row r="400" ht="15.75" customHeight="1">
      <c r="C400" s="29"/>
      <c r="D400" s="30"/>
      <c r="F400" s="30"/>
      <c r="I400" s="29"/>
      <c r="J400" s="29"/>
      <c r="L400" s="29"/>
    </row>
    <row r="401" ht="15.75" customHeight="1">
      <c r="C401" s="29"/>
      <c r="D401" s="30"/>
      <c r="F401" s="30"/>
      <c r="I401" s="29"/>
      <c r="J401" s="29"/>
      <c r="L401" s="29"/>
    </row>
    <row r="402" ht="15.75" customHeight="1">
      <c r="C402" s="29"/>
      <c r="D402" s="30"/>
      <c r="F402" s="30"/>
      <c r="I402" s="29"/>
      <c r="J402" s="29"/>
      <c r="L402" s="29"/>
    </row>
    <row r="403" ht="15.75" customHeight="1">
      <c r="C403" s="29"/>
      <c r="D403" s="30"/>
      <c r="F403" s="30"/>
      <c r="I403" s="29"/>
      <c r="J403" s="29"/>
      <c r="L403" s="29"/>
    </row>
    <row r="404" ht="15.75" customHeight="1">
      <c r="C404" s="29"/>
      <c r="D404" s="30"/>
      <c r="F404" s="30"/>
      <c r="I404" s="29"/>
      <c r="J404" s="29"/>
      <c r="L404" s="29"/>
    </row>
    <row r="405" ht="15.75" customHeight="1">
      <c r="C405" s="29"/>
      <c r="D405" s="30"/>
      <c r="F405" s="30"/>
      <c r="I405" s="29"/>
      <c r="J405" s="29"/>
      <c r="L405" s="29"/>
    </row>
    <row r="406" ht="15.75" customHeight="1">
      <c r="C406" s="29"/>
      <c r="D406" s="30"/>
      <c r="F406" s="30"/>
      <c r="I406" s="29"/>
      <c r="J406" s="29"/>
      <c r="L406" s="29"/>
    </row>
    <row r="407" ht="15.75" customHeight="1">
      <c r="C407" s="29"/>
      <c r="D407" s="30"/>
      <c r="F407" s="30"/>
      <c r="I407" s="29"/>
      <c r="J407" s="29"/>
      <c r="L407" s="29"/>
    </row>
    <row r="408" ht="15.75" customHeight="1">
      <c r="C408" s="29"/>
      <c r="D408" s="30"/>
      <c r="F408" s="30"/>
      <c r="I408" s="29"/>
      <c r="J408" s="29"/>
      <c r="L408" s="29"/>
    </row>
    <row r="409" ht="15.75" customHeight="1">
      <c r="C409" s="29"/>
      <c r="D409" s="30"/>
      <c r="F409" s="30"/>
      <c r="I409" s="29"/>
      <c r="J409" s="29"/>
      <c r="L409" s="29"/>
    </row>
    <row r="410" ht="15.75" customHeight="1">
      <c r="C410" s="29"/>
      <c r="D410" s="30"/>
      <c r="F410" s="30"/>
      <c r="I410" s="29"/>
      <c r="J410" s="29"/>
      <c r="L410" s="29"/>
    </row>
    <row r="411" ht="15.75" customHeight="1">
      <c r="C411" s="29"/>
      <c r="D411" s="30"/>
      <c r="F411" s="30"/>
      <c r="I411" s="29"/>
      <c r="J411" s="29"/>
      <c r="L411" s="29"/>
    </row>
    <row r="412" ht="15.75" customHeight="1">
      <c r="C412" s="29"/>
      <c r="D412" s="30"/>
      <c r="F412" s="30"/>
      <c r="I412" s="29"/>
      <c r="J412" s="29"/>
      <c r="L412" s="29"/>
    </row>
    <row r="413" ht="15.75" customHeight="1">
      <c r="C413" s="29"/>
      <c r="D413" s="30"/>
      <c r="F413" s="30"/>
      <c r="I413" s="29"/>
      <c r="J413" s="29"/>
      <c r="L413" s="29"/>
    </row>
    <row r="414" ht="15.75" customHeight="1">
      <c r="C414" s="29"/>
      <c r="D414" s="30"/>
      <c r="F414" s="30"/>
      <c r="I414" s="29"/>
      <c r="J414" s="29"/>
      <c r="L414" s="29"/>
    </row>
    <row r="415" ht="15.75" customHeight="1">
      <c r="C415" s="29"/>
      <c r="D415" s="30"/>
      <c r="F415" s="30"/>
      <c r="I415" s="29"/>
      <c r="J415" s="29"/>
      <c r="L415" s="29"/>
    </row>
    <row r="416" ht="15.75" customHeight="1">
      <c r="C416" s="29"/>
      <c r="D416" s="30"/>
      <c r="F416" s="30"/>
      <c r="I416" s="29"/>
      <c r="J416" s="29"/>
      <c r="L416" s="29"/>
    </row>
    <row r="417" ht="15.75" customHeight="1">
      <c r="C417" s="29"/>
      <c r="D417" s="30"/>
      <c r="F417" s="30"/>
      <c r="I417" s="29"/>
      <c r="J417" s="29"/>
      <c r="L417" s="29"/>
    </row>
    <row r="418" ht="15.75" customHeight="1">
      <c r="C418" s="29"/>
      <c r="D418" s="30"/>
      <c r="F418" s="30"/>
      <c r="I418" s="29"/>
      <c r="J418" s="29"/>
      <c r="L418" s="29"/>
    </row>
    <row r="419" ht="15.75" customHeight="1">
      <c r="C419" s="29"/>
      <c r="D419" s="30"/>
      <c r="F419" s="30"/>
      <c r="I419" s="29"/>
      <c r="J419" s="29"/>
      <c r="L419" s="29"/>
    </row>
    <row r="420" ht="15.75" customHeight="1">
      <c r="C420" s="29"/>
      <c r="D420" s="30"/>
      <c r="F420" s="30"/>
      <c r="I420" s="29"/>
      <c r="J420" s="29"/>
      <c r="L420" s="29"/>
    </row>
    <row r="421" ht="15.75" customHeight="1">
      <c r="C421" s="29"/>
      <c r="D421" s="30"/>
      <c r="F421" s="30"/>
      <c r="I421" s="29"/>
      <c r="J421" s="29"/>
      <c r="L421" s="29"/>
    </row>
    <row r="422" ht="15.75" customHeight="1">
      <c r="C422" s="29"/>
      <c r="D422" s="30"/>
      <c r="F422" s="30"/>
      <c r="I422" s="29"/>
      <c r="J422" s="29"/>
      <c r="L422" s="29"/>
    </row>
    <row r="423" ht="15.75" customHeight="1">
      <c r="C423" s="29"/>
      <c r="D423" s="30"/>
      <c r="F423" s="30"/>
      <c r="I423" s="29"/>
      <c r="J423" s="29"/>
      <c r="L423" s="29"/>
    </row>
    <row r="424" ht="15.75" customHeight="1">
      <c r="C424" s="29"/>
      <c r="D424" s="30"/>
      <c r="F424" s="30"/>
      <c r="I424" s="29"/>
      <c r="J424" s="29"/>
      <c r="L424" s="29"/>
    </row>
    <row r="425" ht="15.75" customHeight="1">
      <c r="C425" s="29"/>
      <c r="D425" s="30"/>
      <c r="F425" s="30"/>
      <c r="I425" s="29"/>
      <c r="J425" s="29"/>
      <c r="L425" s="29"/>
    </row>
    <row r="426" ht="15.75" customHeight="1">
      <c r="C426" s="29"/>
      <c r="D426" s="30"/>
      <c r="F426" s="30"/>
      <c r="I426" s="29"/>
      <c r="J426" s="29"/>
      <c r="L426" s="29"/>
    </row>
    <row r="427" ht="15.75" customHeight="1">
      <c r="C427" s="29"/>
      <c r="D427" s="30"/>
      <c r="F427" s="30"/>
      <c r="I427" s="29"/>
      <c r="J427" s="29"/>
      <c r="L427" s="29"/>
    </row>
    <row r="428" ht="15.75" customHeight="1">
      <c r="C428" s="29"/>
      <c r="D428" s="30"/>
      <c r="F428" s="30"/>
      <c r="I428" s="29"/>
      <c r="J428" s="29"/>
      <c r="L428" s="29"/>
    </row>
    <row r="429" ht="15.75" customHeight="1">
      <c r="C429" s="29"/>
      <c r="D429" s="30"/>
      <c r="F429" s="30"/>
      <c r="I429" s="29"/>
      <c r="J429" s="29"/>
      <c r="L429" s="29"/>
    </row>
    <row r="430" ht="15.75" customHeight="1">
      <c r="C430" s="29"/>
      <c r="D430" s="30"/>
      <c r="F430" s="30"/>
      <c r="I430" s="29"/>
      <c r="J430" s="29"/>
      <c r="L430" s="29"/>
    </row>
    <row r="431" ht="15.75" customHeight="1">
      <c r="C431" s="29"/>
      <c r="D431" s="30"/>
      <c r="F431" s="30"/>
      <c r="I431" s="29"/>
      <c r="J431" s="29"/>
      <c r="L431" s="29"/>
    </row>
    <row r="432" ht="15.75" customHeight="1">
      <c r="C432" s="29"/>
      <c r="D432" s="30"/>
      <c r="F432" s="30"/>
      <c r="I432" s="29"/>
      <c r="J432" s="29"/>
      <c r="L432" s="29"/>
    </row>
    <row r="433" ht="15.75" customHeight="1">
      <c r="C433" s="29"/>
      <c r="D433" s="30"/>
      <c r="F433" s="30"/>
      <c r="I433" s="29"/>
      <c r="J433" s="29"/>
      <c r="L433" s="29"/>
    </row>
    <row r="434" ht="15.75" customHeight="1">
      <c r="C434" s="29"/>
      <c r="D434" s="30"/>
      <c r="F434" s="30"/>
      <c r="I434" s="29"/>
      <c r="J434" s="29"/>
      <c r="L434" s="29"/>
    </row>
    <row r="435" ht="15.75" customHeight="1">
      <c r="C435" s="29"/>
      <c r="D435" s="30"/>
      <c r="F435" s="30"/>
      <c r="I435" s="29"/>
      <c r="J435" s="29"/>
      <c r="L435" s="29"/>
    </row>
    <row r="436" ht="15.75" customHeight="1">
      <c r="C436" s="29"/>
      <c r="D436" s="30"/>
      <c r="F436" s="30"/>
      <c r="I436" s="29"/>
      <c r="J436" s="29"/>
      <c r="L436" s="29"/>
    </row>
    <row r="437" ht="15.75" customHeight="1">
      <c r="C437" s="29"/>
      <c r="D437" s="30"/>
      <c r="F437" s="30"/>
      <c r="I437" s="29"/>
      <c r="J437" s="29"/>
      <c r="L437" s="29"/>
    </row>
    <row r="438" ht="15.75" customHeight="1">
      <c r="C438" s="29"/>
      <c r="D438" s="30"/>
      <c r="F438" s="30"/>
      <c r="I438" s="29"/>
      <c r="J438" s="29"/>
      <c r="L438" s="29"/>
    </row>
    <row r="439" ht="15.75" customHeight="1">
      <c r="C439" s="29"/>
      <c r="D439" s="30"/>
      <c r="F439" s="30"/>
      <c r="I439" s="29"/>
      <c r="J439" s="29"/>
      <c r="L439" s="29"/>
    </row>
    <row r="440" ht="15.75" customHeight="1">
      <c r="C440" s="29"/>
      <c r="D440" s="30"/>
      <c r="F440" s="30"/>
      <c r="I440" s="29"/>
      <c r="J440" s="29"/>
      <c r="L440" s="29"/>
    </row>
    <row r="441" ht="15.75" customHeight="1">
      <c r="C441" s="29"/>
      <c r="D441" s="30"/>
      <c r="F441" s="30"/>
      <c r="I441" s="29"/>
      <c r="J441" s="29"/>
      <c r="L441" s="29"/>
    </row>
    <row r="442" ht="15.75" customHeight="1">
      <c r="C442" s="29"/>
      <c r="D442" s="30"/>
      <c r="F442" s="30"/>
      <c r="I442" s="29"/>
      <c r="J442" s="29"/>
      <c r="L442" s="29"/>
    </row>
    <row r="443" ht="15.75" customHeight="1">
      <c r="C443" s="29"/>
      <c r="D443" s="30"/>
      <c r="F443" s="30"/>
      <c r="I443" s="29"/>
      <c r="J443" s="29"/>
      <c r="L443" s="29"/>
    </row>
    <row r="444" ht="15.75" customHeight="1">
      <c r="C444" s="29"/>
      <c r="D444" s="30"/>
      <c r="F444" s="30"/>
      <c r="I444" s="29"/>
      <c r="J444" s="29"/>
      <c r="L444" s="29"/>
    </row>
    <row r="445" ht="15.75" customHeight="1">
      <c r="C445" s="29"/>
      <c r="D445" s="30"/>
      <c r="F445" s="30"/>
      <c r="I445" s="29"/>
      <c r="J445" s="29"/>
      <c r="L445" s="29"/>
    </row>
    <row r="446" ht="15.75" customHeight="1">
      <c r="C446" s="29"/>
      <c r="D446" s="30"/>
      <c r="F446" s="30"/>
      <c r="I446" s="29"/>
      <c r="J446" s="29"/>
      <c r="L446" s="29"/>
    </row>
    <row r="447" ht="15.75" customHeight="1">
      <c r="C447" s="29"/>
      <c r="D447" s="30"/>
      <c r="F447" s="30"/>
      <c r="I447" s="29"/>
      <c r="J447" s="29"/>
      <c r="L447" s="29"/>
    </row>
    <row r="448" ht="15.75" customHeight="1">
      <c r="C448" s="29"/>
      <c r="D448" s="30"/>
      <c r="F448" s="30"/>
      <c r="I448" s="29"/>
      <c r="J448" s="29"/>
      <c r="L448" s="29"/>
    </row>
    <row r="449" ht="15.75" customHeight="1">
      <c r="C449" s="29"/>
      <c r="D449" s="30"/>
      <c r="F449" s="30"/>
      <c r="I449" s="29"/>
      <c r="J449" s="29"/>
      <c r="L449" s="29"/>
    </row>
    <row r="450" ht="15.75" customHeight="1">
      <c r="C450" s="29"/>
      <c r="D450" s="30"/>
      <c r="F450" s="30"/>
      <c r="I450" s="29"/>
      <c r="J450" s="29"/>
      <c r="L450" s="29"/>
    </row>
    <row r="451" ht="15.75" customHeight="1">
      <c r="C451" s="29"/>
      <c r="D451" s="30"/>
      <c r="F451" s="30"/>
      <c r="I451" s="29"/>
      <c r="J451" s="29"/>
      <c r="L451" s="29"/>
    </row>
    <row r="452" ht="15.75" customHeight="1">
      <c r="C452" s="29"/>
      <c r="D452" s="30"/>
      <c r="F452" s="30"/>
      <c r="I452" s="29"/>
      <c r="J452" s="29"/>
      <c r="L452" s="29"/>
    </row>
    <row r="453" ht="15.75" customHeight="1">
      <c r="C453" s="29"/>
      <c r="D453" s="30"/>
      <c r="F453" s="30"/>
      <c r="I453" s="29"/>
      <c r="J453" s="29"/>
      <c r="L453" s="29"/>
    </row>
    <row r="454" ht="15.75" customHeight="1">
      <c r="C454" s="29"/>
      <c r="D454" s="30"/>
      <c r="F454" s="30"/>
      <c r="I454" s="29"/>
      <c r="J454" s="29"/>
      <c r="L454" s="29"/>
    </row>
    <row r="455" ht="15.75" customHeight="1">
      <c r="C455" s="29"/>
      <c r="D455" s="30"/>
      <c r="F455" s="30"/>
      <c r="I455" s="29"/>
      <c r="J455" s="29"/>
      <c r="L455" s="29"/>
    </row>
    <row r="456" ht="15.75" customHeight="1">
      <c r="C456" s="29"/>
      <c r="D456" s="30"/>
      <c r="F456" s="30"/>
      <c r="I456" s="29"/>
      <c r="J456" s="29"/>
      <c r="L456" s="29"/>
    </row>
    <row r="457" ht="15.75" customHeight="1">
      <c r="C457" s="29"/>
      <c r="D457" s="30"/>
      <c r="F457" s="30"/>
      <c r="I457" s="29"/>
      <c r="J457" s="29"/>
      <c r="L457" s="29"/>
    </row>
    <row r="458" ht="15.75" customHeight="1">
      <c r="C458" s="29"/>
      <c r="D458" s="30"/>
      <c r="F458" s="30"/>
      <c r="I458" s="29"/>
      <c r="J458" s="29"/>
      <c r="L458" s="29"/>
    </row>
    <row r="459" ht="15.75" customHeight="1">
      <c r="C459" s="29"/>
      <c r="D459" s="30"/>
      <c r="F459" s="30"/>
      <c r="I459" s="29"/>
      <c r="J459" s="29"/>
      <c r="L459" s="29"/>
    </row>
    <row r="460" ht="15.75" customHeight="1">
      <c r="C460" s="29"/>
      <c r="D460" s="30"/>
      <c r="F460" s="30"/>
      <c r="I460" s="29"/>
      <c r="J460" s="29"/>
      <c r="L460" s="29"/>
    </row>
    <row r="461" ht="15.75" customHeight="1">
      <c r="C461" s="29"/>
      <c r="D461" s="30"/>
      <c r="F461" s="30"/>
      <c r="I461" s="29"/>
      <c r="J461" s="29"/>
      <c r="L461" s="29"/>
    </row>
    <row r="462" ht="15.75" customHeight="1">
      <c r="C462" s="29"/>
      <c r="D462" s="30"/>
      <c r="F462" s="30"/>
      <c r="I462" s="29"/>
      <c r="J462" s="29"/>
      <c r="L462" s="29"/>
    </row>
    <row r="463" ht="15.75" customHeight="1">
      <c r="C463" s="29"/>
      <c r="D463" s="30"/>
      <c r="F463" s="30"/>
      <c r="I463" s="29"/>
      <c r="J463" s="29"/>
      <c r="L463" s="29"/>
    </row>
    <row r="464" ht="15.75" customHeight="1">
      <c r="C464" s="29"/>
      <c r="D464" s="30"/>
      <c r="F464" s="30"/>
      <c r="I464" s="29"/>
      <c r="J464" s="29"/>
      <c r="L464" s="29"/>
    </row>
    <row r="465" ht="15.75" customHeight="1">
      <c r="C465" s="29"/>
      <c r="D465" s="30"/>
      <c r="F465" s="30"/>
      <c r="I465" s="29"/>
      <c r="J465" s="29"/>
      <c r="L465" s="29"/>
    </row>
    <row r="466" ht="15.75" customHeight="1">
      <c r="C466" s="29"/>
      <c r="D466" s="30"/>
      <c r="F466" s="30"/>
      <c r="I466" s="29"/>
      <c r="J466" s="29"/>
      <c r="L466" s="29"/>
    </row>
    <row r="467" ht="15.75" customHeight="1">
      <c r="C467" s="29"/>
      <c r="D467" s="30"/>
      <c r="F467" s="30"/>
      <c r="I467" s="29"/>
      <c r="J467" s="29"/>
      <c r="L467" s="29"/>
    </row>
    <row r="468" ht="15.75" customHeight="1">
      <c r="C468" s="29"/>
      <c r="D468" s="30"/>
      <c r="F468" s="30"/>
      <c r="I468" s="29"/>
      <c r="J468" s="29"/>
      <c r="L468" s="29"/>
    </row>
    <row r="469" ht="15.75" customHeight="1">
      <c r="C469" s="29"/>
      <c r="D469" s="30"/>
      <c r="F469" s="30"/>
      <c r="I469" s="29"/>
      <c r="J469" s="29"/>
      <c r="L469" s="29"/>
    </row>
    <row r="470" ht="15.75" customHeight="1">
      <c r="C470" s="29"/>
      <c r="D470" s="30"/>
      <c r="F470" s="30"/>
      <c r="I470" s="29"/>
      <c r="J470" s="29"/>
      <c r="L470" s="29"/>
    </row>
    <row r="471" ht="15.75" customHeight="1">
      <c r="C471" s="29"/>
      <c r="D471" s="30"/>
      <c r="F471" s="30"/>
      <c r="I471" s="29"/>
      <c r="J471" s="29"/>
      <c r="L471" s="29"/>
    </row>
    <row r="472" ht="15.75" customHeight="1">
      <c r="C472" s="29"/>
      <c r="D472" s="30"/>
      <c r="F472" s="30"/>
      <c r="I472" s="29"/>
      <c r="J472" s="29"/>
      <c r="L472" s="29"/>
    </row>
    <row r="473" ht="15.75" customHeight="1">
      <c r="C473" s="29"/>
      <c r="D473" s="30"/>
      <c r="F473" s="30"/>
      <c r="I473" s="29"/>
      <c r="J473" s="29"/>
      <c r="L473" s="29"/>
    </row>
    <row r="474" ht="15.75" customHeight="1">
      <c r="C474" s="29"/>
      <c r="D474" s="30"/>
      <c r="F474" s="30"/>
      <c r="I474" s="29"/>
      <c r="J474" s="29"/>
      <c r="L474" s="29"/>
    </row>
    <row r="475" ht="15.75" customHeight="1">
      <c r="C475" s="29"/>
      <c r="D475" s="30"/>
      <c r="F475" s="30"/>
      <c r="I475" s="29"/>
      <c r="J475" s="29"/>
      <c r="L475" s="29"/>
    </row>
    <row r="476" ht="15.75" customHeight="1">
      <c r="C476" s="29"/>
      <c r="D476" s="30"/>
      <c r="F476" s="30"/>
      <c r="I476" s="29"/>
      <c r="J476" s="29"/>
      <c r="L476" s="29"/>
    </row>
    <row r="477" ht="15.75" customHeight="1">
      <c r="C477" s="29"/>
      <c r="D477" s="30"/>
      <c r="F477" s="30"/>
      <c r="I477" s="29"/>
      <c r="J477" s="29"/>
      <c r="L477" s="29"/>
    </row>
    <row r="478" ht="15.75" customHeight="1">
      <c r="C478" s="29"/>
      <c r="D478" s="30"/>
      <c r="F478" s="30"/>
      <c r="I478" s="29"/>
      <c r="J478" s="29"/>
      <c r="L478" s="29"/>
    </row>
    <row r="479" ht="15.75" customHeight="1">
      <c r="C479" s="29"/>
      <c r="D479" s="30"/>
      <c r="F479" s="30"/>
      <c r="I479" s="29"/>
      <c r="J479" s="29"/>
      <c r="L479" s="29"/>
    </row>
    <row r="480" ht="15.75" customHeight="1">
      <c r="C480" s="29"/>
      <c r="D480" s="30"/>
      <c r="F480" s="30"/>
      <c r="I480" s="29"/>
      <c r="J480" s="29"/>
      <c r="L480" s="29"/>
    </row>
    <row r="481" ht="15.75" customHeight="1">
      <c r="C481" s="29"/>
      <c r="D481" s="30"/>
      <c r="F481" s="30"/>
      <c r="I481" s="29"/>
      <c r="J481" s="29"/>
      <c r="L481" s="29"/>
    </row>
    <row r="482" ht="15.75" customHeight="1">
      <c r="C482" s="29"/>
      <c r="D482" s="30"/>
      <c r="F482" s="30"/>
      <c r="I482" s="29"/>
      <c r="J482" s="29"/>
      <c r="L482" s="29"/>
    </row>
    <row r="483" ht="15.75" customHeight="1">
      <c r="C483" s="29"/>
      <c r="D483" s="30"/>
      <c r="F483" s="30"/>
      <c r="I483" s="29"/>
      <c r="J483" s="29"/>
      <c r="L483" s="29"/>
    </row>
    <row r="484" ht="15.75" customHeight="1">
      <c r="C484" s="29"/>
      <c r="D484" s="30"/>
      <c r="F484" s="30"/>
      <c r="I484" s="29"/>
      <c r="J484" s="29"/>
      <c r="L484" s="29"/>
    </row>
    <row r="485" ht="15.75" customHeight="1">
      <c r="C485" s="29"/>
      <c r="D485" s="30"/>
      <c r="F485" s="30"/>
      <c r="I485" s="29"/>
      <c r="J485" s="29"/>
      <c r="L485" s="29"/>
    </row>
    <row r="486" ht="15.75" customHeight="1">
      <c r="C486" s="29"/>
      <c r="D486" s="30"/>
      <c r="F486" s="30"/>
      <c r="I486" s="29"/>
      <c r="J486" s="29"/>
      <c r="L486" s="29"/>
    </row>
    <row r="487" ht="15.75" customHeight="1">
      <c r="C487" s="29"/>
      <c r="D487" s="30"/>
      <c r="F487" s="30"/>
      <c r="I487" s="29"/>
      <c r="J487" s="29"/>
      <c r="L487" s="29"/>
    </row>
    <row r="488" ht="15.75" customHeight="1">
      <c r="C488" s="29"/>
      <c r="D488" s="30"/>
      <c r="F488" s="30"/>
      <c r="I488" s="29"/>
      <c r="J488" s="29"/>
      <c r="L488" s="29"/>
    </row>
    <row r="489" ht="15.75" customHeight="1">
      <c r="C489" s="29"/>
      <c r="D489" s="30"/>
      <c r="F489" s="30"/>
      <c r="I489" s="29"/>
      <c r="J489" s="29"/>
      <c r="L489" s="29"/>
    </row>
    <row r="490" ht="15.75" customHeight="1">
      <c r="C490" s="29"/>
      <c r="D490" s="30"/>
      <c r="F490" s="30"/>
      <c r="I490" s="29"/>
      <c r="J490" s="29"/>
      <c r="L490" s="29"/>
    </row>
    <row r="491" ht="15.75" customHeight="1">
      <c r="C491" s="29"/>
      <c r="D491" s="30"/>
      <c r="F491" s="30"/>
      <c r="I491" s="29"/>
      <c r="J491" s="29"/>
      <c r="L491" s="29"/>
    </row>
    <row r="492" ht="15.75" customHeight="1">
      <c r="C492" s="29"/>
      <c r="D492" s="30"/>
      <c r="F492" s="30"/>
      <c r="I492" s="29"/>
      <c r="J492" s="29"/>
      <c r="L492" s="29"/>
    </row>
    <row r="493" ht="15.75" customHeight="1">
      <c r="C493" s="29"/>
      <c r="D493" s="30"/>
      <c r="F493" s="30"/>
      <c r="I493" s="29"/>
      <c r="J493" s="29"/>
      <c r="L493" s="29"/>
    </row>
    <row r="494" ht="15.75" customHeight="1">
      <c r="C494" s="29"/>
      <c r="D494" s="30"/>
      <c r="F494" s="30"/>
      <c r="I494" s="29"/>
      <c r="J494" s="29"/>
      <c r="L494" s="29"/>
    </row>
    <row r="495" ht="15.75" customHeight="1">
      <c r="C495" s="29"/>
      <c r="D495" s="30"/>
      <c r="F495" s="30"/>
      <c r="I495" s="29"/>
      <c r="J495" s="29"/>
      <c r="L495" s="29"/>
    </row>
    <row r="496" ht="15.75" customHeight="1">
      <c r="C496" s="29"/>
      <c r="D496" s="30"/>
      <c r="F496" s="30"/>
      <c r="I496" s="29"/>
      <c r="J496" s="29"/>
      <c r="L496" s="29"/>
    </row>
    <row r="497" ht="15.75" customHeight="1">
      <c r="C497" s="29"/>
      <c r="D497" s="30"/>
      <c r="F497" s="30"/>
      <c r="I497" s="29"/>
      <c r="J497" s="29"/>
      <c r="L497" s="29"/>
    </row>
    <row r="498" ht="15.75" customHeight="1">
      <c r="C498" s="29"/>
      <c r="D498" s="30"/>
      <c r="F498" s="30"/>
      <c r="I498" s="29"/>
      <c r="J498" s="29"/>
      <c r="L498" s="29"/>
    </row>
    <row r="499" ht="15.75" customHeight="1">
      <c r="C499" s="29"/>
      <c r="D499" s="30"/>
      <c r="F499" s="30"/>
      <c r="I499" s="29"/>
      <c r="J499" s="29"/>
      <c r="L499" s="29"/>
    </row>
    <row r="500" ht="15.75" customHeight="1">
      <c r="C500" s="29"/>
      <c r="D500" s="30"/>
      <c r="F500" s="30"/>
      <c r="I500" s="29"/>
      <c r="J500" s="29"/>
      <c r="L500" s="29"/>
    </row>
    <row r="501" ht="15.75" customHeight="1">
      <c r="C501" s="29"/>
      <c r="D501" s="30"/>
      <c r="F501" s="30"/>
      <c r="I501" s="29"/>
      <c r="J501" s="29"/>
      <c r="L501" s="29"/>
    </row>
    <row r="502" ht="15.75" customHeight="1">
      <c r="C502" s="29"/>
      <c r="D502" s="30"/>
      <c r="F502" s="30"/>
      <c r="I502" s="29"/>
      <c r="J502" s="29"/>
      <c r="L502" s="29"/>
    </row>
    <row r="503" ht="15.75" customHeight="1">
      <c r="C503" s="29"/>
      <c r="D503" s="30"/>
      <c r="F503" s="30"/>
      <c r="I503" s="29"/>
      <c r="J503" s="29"/>
      <c r="L503" s="29"/>
    </row>
    <row r="504" ht="15.75" customHeight="1">
      <c r="C504" s="29"/>
      <c r="D504" s="30"/>
      <c r="F504" s="30"/>
      <c r="I504" s="29"/>
      <c r="J504" s="29"/>
      <c r="L504" s="29"/>
    </row>
    <row r="505" ht="15.75" customHeight="1">
      <c r="C505" s="29"/>
      <c r="D505" s="30"/>
      <c r="F505" s="30"/>
      <c r="I505" s="29"/>
      <c r="J505" s="29"/>
      <c r="L505" s="29"/>
    </row>
    <row r="506" ht="15.75" customHeight="1">
      <c r="C506" s="29"/>
      <c r="D506" s="30"/>
      <c r="F506" s="30"/>
      <c r="I506" s="29"/>
      <c r="J506" s="29"/>
      <c r="L506" s="29"/>
    </row>
    <row r="507" ht="15.75" customHeight="1">
      <c r="C507" s="29"/>
      <c r="D507" s="30"/>
      <c r="F507" s="30"/>
      <c r="I507" s="29"/>
      <c r="J507" s="29"/>
      <c r="L507" s="29"/>
    </row>
    <row r="508" ht="15.75" customHeight="1">
      <c r="C508" s="29"/>
      <c r="D508" s="30"/>
      <c r="F508" s="30"/>
      <c r="I508" s="29"/>
      <c r="J508" s="29"/>
      <c r="L508" s="29"/>
    </row>
    <row r="509" ht="15.75" customHeight="1">
      <c r="C509" s="29"/>
      <c r="D509" s="30"/>
      <c r="F509" s="30"/>
      <c r="I509" s="29"/>
      <c r="J509" s="29"/>
      <c r="L509" s="29"/>
    </row>
    <row r="510" ht="15.75" customHeight="1">
      <c r="C510" s="29"/>
      <c r="D510" s="30"/>
      <c r="F510" s="30"/>
      <c r="I510" s="29"/>
      <c r="J510" s="29"/>
      <c r="L510" s="29"/>
    </row>
    <row r="511" ht="15.75" customHeight="1">
      <c r="C511" s="29"/>
      <c r="D511" s="30"/>
      <c r="F511" s="30"/>
      <c r="I511" s="29"/>
      <c r="J511" s="29"/>
      <c r="L511" s="29"/>
    </row>
    <row r="512" ht="15.75" customHeight="1">
      <c r="C512" s="29"/>
      <c r="D512" s="30"/>
      <c r="F512" s="30"/>
      <c r="I512" s="29"/>
      <c r="J512" s="29"/>
      <c r="L512" s="29"/>
    </row>
    <row r="513" ht="15.75" customHeight="1">
      <c r="C513" s="29"/>
      <c r="D513" s="30"/>
      <c r="F513" s="30"/>
      <c r="I513" s="29"/>
      <c r="J513" s="29"/>
      <c r="L513" s="29"/>
    </row>
    <row r="514" ht="15.75" customHeight="1">
      <c r="C514" s="29"/>
      <c r="D514" s="30"/>
      <c r="F514" s="30"/>
      <c r="I514" s="29"/>
      <c r="J514" s="29"/>
      <c r="L514" s="29"/>
    </row>
    <row r="515" ht="15.75" customHeight="1">
      <c r="C515" s="29"/>
      <c r="D515" s="30"/>
      <c r="F515" s="30"/>
      <c r="I515" s="29"/>
      <c r="J515" s="29"/>
      <c r="L515" s="29"/>
    </row>
    <row r="516" ht="15.75" customHeight="1">
      <c r="C516" s="29"/>
      <c r="D516" s="30"/>
      <c r="F516" s="30"/>
      <c r="I516" s="29"/>
      <c r="J516" s="29"/>
      <c r="L516" s="29"/>
    </row>
    <row r="517" ht="15.75" customHeight="1">
      <c r="C517" s="29"/>
      <c r="D517" s="30"/>
      <c r="F517" s="30"/>
      <c r="I517" s="29"/>
      <c r="J517" s="29"/>
      <c r="L517" s="29"/>
    </row>
    <row r="518" ht="15.75" customHeight="1">
      <c r="C518" s="29"/>
      <c r="D518" s="30"/>
      <c r="F518" s="30"/>
      <c r="I518" s="29"/>
      <c r="J518" s="29"/>
      <c r="L518" s="29"/>
    </row>
    <row r="519" ht="15.75" customHeight="1">
      <c r="C519" s="29"/>
      <c r="D519" s="30"/>
      <c r="F519" s="30"/>
      <c r="I519" s="29"/>
      <c r="J519" s="29"/>
      <c r="L519" s="29"/>
    </row>
    <row r="520" ht="15.75" customHeight="1">
      <c r="C520" s="29"/>
      <c r="D520" s="30"/>
      <c r="F520" s="30"/>
      <c r="I520" s="29"/>
      <c r="J520" s="29"/>
      <c r="L520" s="29"/>
    </row>
    <row r="521" ht="15.75" customHeight="1">
      <c r="C521" s="29"/>
      <c r="D521" s="30"/>
      <c r="F521" s="30"/>
      <c r="I521" s="29"/>
      <c r="J521" s="29"/>
      <c r="L521" s="29"/>
    </row>
    <row r="522" ht="15.75" customHeight="1">
      <c r="C522" s="29"/>
      <c r="D522" s="30"/>
      <c r="F522" s="30"/>
      <c r="I522" s="29"/>
      <c r="J522" s="29"/>
      <c r="L522" s="29"/>
    </row>
    <row r="523" ht="15.75" customHeight="1">
      <c r="C523" s="29"/>
      <c r="D523" s="30"/>
      <c r="F523" s="30"/>
      <c r="I523" s="29"/>
      <c r="J523" s="29"/>
      <c r="L523" s="29"/>
    </row>
    <row r="524" ht="15.75" customHeight="1">
      <c r="C524" s="29"/>
      <c r="D524" s="30"/>
      <c r="F524" s="30"/>
      <c r="I524" s="29"/>
      <c r="J524" s="29"/>
      <c r="L524" s="29"/>
    </row>
    <row r="525" ht="15.75" customHeight="1">
      <c r="C525" s="29"/>
      <c r="D525" s="30"/>
      <c r="F525" s="30"/>
      <c r="I525" s="29"/>
      <c r="J525" s="29"/>
      <c r="L525" s="29"/>
    </row>
    <row r="526" ht="15.75" customHeight="1">
      <c r="C526" s="29"/>
      <c r="D526" s="30"/>
      <c r="F526" s="30"/>
      <c r="I526" s="29"/>
      <c r="J526" s="29"/>
      <c r="L526" s="29"/>
    </row>
    <row r="527" ht="15.75" customHeight="1">
      <c r="C527" s="29"/>
      <c r="D527" s="30"/>
      <c r="F527" s="30"/>
      <c r="I527" s="29"/>
      <c r="J527" s="29"/>
      <c r="L527" s="29"/>
    </row>
    <row r="528" ht="15.75" customHeight="1">
      <c r="C528" s="29"/>
      <c r="D528" s="30"/>
      <c r="F528" s="30"/>
      <c r="I528" s="29"/>
      <c r="J528" s="29"/>
      <c r="L528" s="29"/>
    </row>
    <row r="529" ht="15.75" customHeight="1">
      <c r="C529" s="29"/>
      <c r="D529" s="30"/>
      <c r="F529" s="30"/>
      <c r="I529" s="29"/>
      <c r="J529" s="29"/>
      <c r="L529" s="29"/>
    </row>
    <row r="530" ht="15.75" customHeight="1">
      <c r="C530" s="29"/>
      <c r="D530" s="30"/>
      <c r="F530" s="30"/>
      <c r="I530" s="29"/>
      <c r="J530" s="29"/>
      <c r="L530" s="29"/>
    </row>
    <row r="531" ht="15.75" customHeight="1">
      <c r="C531" s="29"/>
      <c r="D531" s="30"/>
      <c r="F531" s="30"/>
      <c r="I531" s="29"/>
      <c r="J531" s="29"/>
      <c r="L531" s="29"/>
    </row>
    <row r="532" ht="15.75" customHeight="1">
      <c r="C532" s="29"/>
      <c r="D532" s="30"/>
      <c r="F532" s="30"/>
      <c r="I532" s="29"/>
      <c r="J532" s="29"/>
      <c r="L532" s="29"/>
    </row>
    <row r="533" ht="15.75" customHeight="1">
      <c r="C533" s="29"/>
      <c r="D533" s="30"/>
      <c r="F533" s="30"/>
      <c r="I533" s="29"/>
      <c r="J533" s="29"/>
      <c r="L533" s="29"/>
    </row>
    <row r="534" ht="15.75" customHeight="1">
      <c r="C534" s="29"/>
      <c r="D534" s="30"/>
      <c r="F534" s="30"/>
      <c r="I534" s="29"/>
      <c r="J534" s="29"/>
      <c r="L534" s="29"/>
    </row>
    <row r="535" ht="15.75" customHeight="1">
      <c r="C535" s="29"/>
      <c r="D535" s="30"/>
      <c r="F535" s="30"/>
      <c r="I535" s="29"/>
      <c r="J535" s="29"/>
      <c r="L535" s="29"/>
    </row>
    <row r="536" ht="15.75" customHeight="1">
      <c r="C536" s="29"/>
      <c r="D536" s="30"/>
      <c r="F536" s="30"/>
      <c r="I536" s="29"/>
      <c r="J536" s="29"/>
      <c r="L536" s="29"/>
    </row>
    <row r="537" ht="15.75" customHeight="1">
      <c r="C537" s="29"/>
      <c r="D537" s="30"/>
      <c r="F537" s="30"/>
      <c r="I537" s="29"/>
      <c r="J537" s="29"/>
      <c r="L537" s="29"/>
    </row>
    <row r="538" ht="15.75" customHeight="1">
      <c r="C538" s="29"/>
      <c r="D538" s="30"/>
      <c r="F538" s="30"/>
      <c r="I538" s="29"/>
      <c r="J538" s="29"/>
      <c r="L538" s="29"/>
    </row>
    <row r="539" ht="15.75" customHeight="1">
      <c r="C539" s="29"/>
      <c r="D539" s="30"/>
      <c r="F539" s="30"/>
      <c r="I539" s="29"/>
      <c r="J539" s="29"/>
      <c r="L539" s="29"/>
    </row>
    <row r="540" ht="15.75" customHeight="1">
      <c r="C540" s="29"/>
      <c r="D540" s="30"/>
      <c r="F540" s="30"/>
      <c r="I540" s="29"/>
      <c r="J540" s="29"/>
      <c r="L540" s="29"/>
    </row>
    <row r="541" ht="15.75" customHeight="1">
      <c r="C541" s="29"/>
      <c r="D541" s="30"/>
      <c r="F541" s="30"/>
      <c r="I541" s="29"/>
      <c r="J541" s="29"/>
      <c r="L541" s="29"/>
    </row>
    <row r="542" ht="15.75" customHeight="1">
      <c r="C542" s="29"/>
      <c r="D542" s="30"/>
      <c r="F542" s="30"/>
      <c r="I542" s="29"/>
      <c r="J542" s="29"/>
      <c r="L542" s="29"/>
    </row>
    <row r="543" ht="15.75" customHeight="1">
      <c r="C543" s="29"/>
      <c r="D543" s="30"/>
      <c r="F543" s="30"/>
      <c r="I543" s="29"/>
      <c r="J543" s="29"/>
      <c r="L543" s="29"/>
    </row>
    <row r="544" ht="15.75" customHeight="1">
      <c r="C544" s="29"/>
      <c r="D544" s="30"/>
      <c r="F544" s="30"/>
      <c r="I544" s="29"/>
      <c r="J544" s="29"/>
      <c r="L544" s="29"/>
    </row>
    <row r="545" ht="15.75" customHeight="1">
      <c r="C545" s="29"/>
      <c r="D545" s="30"/>
      <c r="F545" s="30"/>
      <c r="I545" s="29"/>
      <c r="J545" s="29"/>
      <c r="L545" s="29"/>
    </row>
    <row r="546" ht="15.75" customHeight="1">
      <c r="C546" s="29"/>
      <c r="D546" s="30"/>
      <c r="F546" s="30"/>
      <c r="I546" s="29"/>
      <c r="J546" s="29"/>
      <c r="L546" s="29"/>
    </row>
    <row r="547" ht="15.75" customHeight="1">
      <c r="C547" s="29"/>
      <c r="D547" s="30"/>
      <c r="F547" s="30"/>
      <c r="I547" s="29"/>
      <c r="J547" s="29"/>
      <c r="L547" s="29"/>
    </row>
    <row r="548" ht="15.75" customHeight="1">
      <c r="C548" s="29"/>
      <c r="D548" s="30"/>
      <c r="F548" s="30"/>
      <c r="I548" s="29"/>
      <c r="J548" s="29"/>
      <c r="L548" s="29"/>
    </row>
    <row r="549" ht="15.75" customHeight="1">
      <c r="C549" s="29"/>
      <c r="D549" s="30"/>
      <c r="F549" s="30"/>
      <c r="I549" s="29"/>
      <c r="J549" s="29"/>
      <c r="L549" s="29"/>
    </row>
    <row r="550" ht="15.75" customHeight="1">
      <c r="C550" s="29"/>
      <c r="D550" s="30"/>
      <c r="F550" s="30"/>
      <c r="I550" s="29"/>
      <c r="J550" s="29"/>
      <c r="L550" s="29"/>
    </row>
    <row r="551" ht="15.75" customHeight="1">
      <c r="C551" s="29"/>
      <c r="D551" s="30"/>
      <c r="F551" s="30"/>
      <c r="I551" s="29"/>
      <c r="J551" s="29"/>
      <c r="L551" s="29"/>
    </row>
    <row r="552" ht="15.75" customHeight="1">
      <c r="C552" s="29"/>
      <c r="D552" s="30"/>
      <c r="F552" s="30"/>
      <c r="I552" s="29"/>
      <c r="J552" s="29"/>
      <c r="L552" s="29"/>
    </row>
    <row r="553" ht="15.75" customHeight="1">
      <c r="C553" s="29"/>
      <c r="D553" s="30"/>
      <c r="F553" s="30"/>
      <c r="I553" s="29"/>
      <c r="J553" s="29"/>
      <c r="L553" s="29"/>
    </row>
    <row r="554" ht="15.75" customHeight="1">
      <c r="C554" s="29"/>
      <c r="D554" s="30"/>
      <c r="F554" s="30"/>
      <c r="I554" s="29"/>
      <c r="J554" s="29"/>
      <c r="L554" s="29"/>
    </row>
    <row r="555" ht="15.75" customHeight="1">
      <c r="C555" s="29"/>
      <c r="D555" s="30"/>
      <c r="F555" s="30"/>
      <c r="I555" s="29"/>
      <c r="J555" s="29"/>
      <c r="L555" s="29"/>
    </row>
    <row r="556" ht="15.75" customHeight="1">
      <c r="C556" s="29"/>
      <c r="D556" s="30"/>
      <c r="F556" s="30"/>
      <c r="I556" s="29"/>
      <c r="J556" s="29"/>
      <c r="L556" s="29"/>
    </row>
    <row r="557" ht="15.75" customHeight="1">
      <c r="C557" s="29"/>
      <c r="D557" s="30"/>
      <c r="F557" s="30"/>
      <c r="I557" s="29"/>
      <c r="J557" s="29"/>
      <c r="L557" s="29"/>
    </row>
    <row r="558" ht="15.75" customHeight="1">
      <c r="C558" s="29"/>
      <c r="D558" s="30"/>
      <c r="F558" s="30"/>
      <c r="I558" s="29"/>
      <c r="J558" s="29"/>
      <c r="L558" s="29"/>
    </row>
    <row r="559" ht="15.75" customHeight="1">
      <c r="C559" s="29"/>
      <c r="D559" s="30"/>
      <c r="F559" s="30"/>
      <c r="I559" s="29"/>
      <c r="J559" s="29"/>
      <c r="L559" s="29"/>
    </row>
    <row r="560" ht="15.75" customHeight="1">
      <c r="C560" s="29"/>
      <c r="D560" s="30"/>
      <c r="F560" s="30"/>
      <c r="I560" s="29"/>
      <c r="J560" s="29"/>
      <c r="L560" s="29"/>
    </row>
    <row r="561" ht="15.75" customHeight="1">
      <c r="C561" s="29"/>
      <c r="D561" s="30"/>
      <c r="F561" s="30"/>
      <c r="I561" s="29"/>
      <c r="J561" s="29"/>
      <c r="L561" s="29"/>
    </row>
    <row r="562" ht="15.75" customHeight="1">
      <c r="C562" s="29"/>
      <c r="D562" s="30"/>
      <c r="F562" s="30"/>
      <c r="I562" s="29"/>
      <c r="J562" s="29"/>
      <c r="L562" s="29"/>
    </row>
    <row r="563" ht="15.75" customHeight="1">
      <c r="C563" s="29"/>
      <c r="D563" s="30"/>
      <c r="F563" s="30"/>
      <c r="I563" s="29"/>
      <c r="J563" s="29"/>
      <c r="L563" s="29"/>
    </row>
    <row r="564" ht="15.75" customHeight="1">
      <c r="C564" s="29"/>
      <c r="D564" s="30"/>
      <c r="F564" s="30"/>
      <c r="I564" s="29"/>
      <c r="J564" s="29"/>
      <c r="L564" s="29"/>
    </row>
    <row r="565" ht="15.75" customHeight="1">
      <c r="C565" s="29"/>
      <c r="D565" s="30"/>
      <c r="F565" s="30"/>
      <c r="I565" s="29"/>
      <c r="J565" s="29"/>
      <c r="L565" s="29"/>
    </row>
    <row r="566" ht="15.75" customHeight="1">
      <c r="C566" s="29"/>
      <c r="D566" s="30"/>
      <c r="F566" s="30"/>
      <c r="I566" s="29"/>
      <c r="J566" s="29"/>
      <c r="L566" s="29"/>
    </row>
    <row r="567" ht="15.75" customHeight="1">
      <c r="C567" s="29"/>
      <c r="D567" s="30"/>
      <c r="F567" s="30"/>
      <c r="I567" s="29"/>
      <c r="J567" s="29"/>
      <c r="L567" s="29"/>
    </row>
    <row r="568" ht="15.75" customHeight="1">
      <c r="C568" s="29"/>
      <c r="D568" s="30"/>
      <c r="F568" s="30"/>
      <c r="I568" s="29"/>
      <c r="J568" s="29"/>
      <c r="L568" s="29"/>
    </row>
    <row r="569" ht="15.75" customHeight="1">
      <c r="C569" s="29"/>
      <c r="D569" s="30"/>
      <c r="F569" s="30"/>
      <c r="I569" s="29"/>
      <c r="J569" s="29"/>
      <c r="L569" s="29"/>
    </row>
    <row r="570" ht="15.75" customHeight="1">
      <c r="C570" s="29"/>
      <c r="D570" s="30"/>
      <c r="F570" s="30"/>
      <c r="I570" s="29"/>
      <c r="J570" s="29"/>
      <c r="L570" s="29"/>
    </row>
    <row r="571" ht="15.75" customHeight="1">
      <c r="C571" s="29"/>
      <c r="D571" s="30"/>
      <c r="F571" s="30"/>
      <c r="I571" s="29"/>
      <c r="J571" s="29"/>
      <c r="L571" s="29"/>
    </row>
    <row r="572" ht="15.75" customHeight="1">
      <c r="C572" s="29"/>
      <c r="D572" s="30"/>
      <c r="F572" s="30"/>
      <c r="I572" s="29"/>
      <c r="J572" s="29"/>
      <c r="L572" s="29"/>
    </row>
    <row r="573" ht="15.75" customHeight="1">
      <c r="C573" s="29"/>
      <c r="D573" s="30"/>
      <c r="F573" s="30"/>
      <c r="I573" s="29"/>
      <c r="J573" s="29"/>
      <c r="L573" s="29"/>
    </row>
    <row r="574" ht="15.75" customHeight="1">
      <c r="C574" s="29"/>
      <c r="D574" s="30"/>
      <c r="F574" s="30"/>
      <c r="I574" s="29"/>
      <c r="J574" s="29"/>
      <c r="L574" s="29"/>
    </row>
    <row r="575" ht="15.75" customHeight="1">
      <c r="C575" s="29"/>
      <c r="D575" s="30"/>
      <c r="F575" s="30"/>
      <c r="I575" s="29"/>
      <c r="J575" s="29"/>
      <c r="L575" s="29"/>
    </row>
    <row r="576" ht="15.75" customHeight="1">
      <c r="C576" s="29"/>
      <c r="D576" s="30"/>
      <c r="F576" s="30"/>
      <c r="I576" s="29"/>
      <c r="J576" s="29"/>
      <c r="L576" s="29"/>
    </row>
    <row r="577" ht="15.75" customHeight="1">
      <c r="C577" s="29"/>
      <c r="D577" s="30"/>
      <c r="F577" s="30"/>
      <c r="I577" s="29"/>
      <c r="J577" s="29"/>
      <c r="L577" s="29"/>
    </row>
    <row r="578" ht="15.75" customHeight="1">
      <c r="C578" s="29"/>
      <c r="D578" s="30"/>
      <c r="F578" s="30"/>
      <c r="I578" s="29"/>
      <c r="J578" s="29"/>
      <c r="L578" s="29"/>
    </row>
    <row r="579" ht="15.75" customHeight="1">
      <c r="C579" s="29"/>
      <c r="D579" s="30"/>
      <c r="F579" s="30"/>
      <c r="I579" s="29"/>
      <c r="J579" s="29"/>
      <c r="L579" s="29"/>
    </row>
    <row r="580" ht="15.75" customHeight="1">
      <c r="C580" s="29"/>
      <c r="D580" s="30"/>
      <c r="F580" s="30"/>
      <c r="I580" s="29"/>
      <c r="J580" s="29"/>
      <c r="L580" s="29"/>
    </row>
    <row r="581" ht="15.75" customHeight="1">
      <c r="C581" s="29"/>
      <c r="D581" s="30"/>
      <c r="F581" s="30"/>
      <c r="I581" s="29"/>
      <c r="J581" s="29"/>
      <c r="L581" s="29"/>
    </row>
    <row r="582" ht="15.75" customHeight="1">
      <c r="C582" s="29"/>
      <c r="D582" s="30"/>
      <c r="F582" s="30"/>
      <c r="I582" s="29"/>
      <c r="J582" s="29"/>
      <c r="L582" s="29"/>
    </row>
    <row r="583" ht="15.75" customHeight="1">
      <c r="C583" s="29"/>
      <c r="D583" s="30"/>
      <c r="F583" s="30"/>
      <c r="I583" s="29"/>
      <c r="J583" s="29"/>
      <c r="L583" s="29"/>
    </row>
    <row r="584" ht="15.75" customHeight="1">
      <c r="C584" s="29"/>
      <c r="D584" s="30"/>
      <c r="F584" s="30"/>
      <c r="I584" s="29"/>
      <c r="J584" s="29"/>
      <c r="L584" s="29"/>
    </row>
    <row r="585" ht="15.75" customHeight="1">
      <c r="C585" s="29"/>
      <c r="D585" s="30"/>
      <c r="F585" s="30"/>
      <c r="I585" s="29"/>
      <c r="J585" s="29"/>
      <c r="L585" s="29"/>
    </row>
    <row r="586" ht="15.75" customHeight="1">
      <c r="C586" s="29"/>
      <c r="D586" s="30"/>
      <c r="F586" s="30"/>
      <c r="I586" s="29"/>
      <c r="J586" s="29"/>
      <c r="L586" s="29"/>
    </row>
    <row r="587" ht="15.75" customHeight="1">
      <c r="C587" s="29"/>
      <c r="D587" s="30"/>
      <c r="F587" s="30"/>
      <c r="I587" s="29"/>
      <c r="J587" s="29"/>
      <c r="L587" s="29"/>
    </row>
    <row r="588" ht="15.75" customHeight="1">
      <c r="C588" s="29"/>
      <c r="D588" s="30"/>
      <c r="F588" s="30"/>
      <c r="I588" s="29"/>
      <c r="J588" s="29"/>
      <c r="L588" s="29"/>
    </row>
    <row r="589" ht="15.75" customHeight="1">
      <c r="C589" s="29"/>
      <c r="D589" s="30"/>
      <c r="F589" s="30"/>
      <c r="I589" s="29"/>
      <c r="J589" s="29"/>
      <c r="L589" s="29"/>
    </row>
    <row r="590" ht="15.75" customHeight="1">
      <c r="C590" s="29"/>
      <c r="D590" s="30"/>
      <c r="F590" s="30"/>
      <c r="I590" s="29"/>
      <c r="J590" s="29"/>
      <c r="L590" s="29"/>
    </row>
    <row r="591" ht="15.75" customHeight="1">
      <c r="C591" s="29"/>
      <c r="D591" s="30"/>
      <c r="F591" s="30"/>
      <c r="I591" s="29"/>
      <c r="J591" s="29"/>
      <c r="L591" s="29"/>
    </row>
    <row r="592" ht="15.75" customHeight="1">
      <c r="C592" s="29"/>
      <c r="D592" s="30"/>
      <c r="F592" s="30"/>
      <c r="I592" s="29"/>
      <c r="J592" s="29"/>
      <c r="L592" s="29"/>
    </row>
    <row r="593" ht="15.75" customHeight="1">
      <c r="C593" s="29"/>
      <c r="D593" s="30"/>
      <c r="F593" s="30"/>
      <c r="I593" s="29"/>
      <c r="J593" s="29"/>
      <c r="L593" s="29"/>
    </row>
    <row r="594" ht="15.75" customHeight="1">
      <c r="C594" s="29"/>
      <c r="D594" s="30"/>
      <c r="F594" s="30"/>
      <c r="I594" s="29"/>
      <c r="J594" s="29"/>
      <c r="L594" s="29"/>
    </row>
    <row r="595" ht="15.75" customHeight="1">
      <c r="C595" s="29"/>
      <c r="D595" s="30"/>
      <c r="F595" s="30"/>
      <c r="I595" s="29"/>
      <c r="J595" s="29"/>
      <c r="L595" s="29"/>
    </row>
    <row r="596" ht="15.75" customHeight="1">
      <c r="C596" s="29"/>
      <c r="D596" s="30"/>
      <c r="F596" s="30"/>
      <c r="I596" s="29"/>
      <c r="J596" s="29"/>
      <c r="L596" s="29"/>
    </row>
    <row r="597" ht="15.75" customHeight="1">
      <c r="C597" s="29"/>
      <c r="D597" s="30"/>
      <c r="F597" s="30"/>
      <c r="I597" s="29"/>
      <c r="J597" s="29"/>
      <c r="L597" s="29"/>
    </row>
    <row r="598" ht="15.75" customHeight="1">
      <c r="C598" s="29"/>
      <c r="D598" s="30"/>
      <c r="F598" s="30"/>
      <c r="I598" s="29"/>
      <c r="J598" s="29"/>
      <c r="L598" s="29"/>
    </row>
    <row r="599" ht="15.75" customHeight="1">
      <c r="C599" s="29"/>
      <c r="D599" s="30"/>
      <c r="F599" s="30"/>
      <c r="I599" s="29"/>
      <c r="J599" s="29"/>
      <c r="L599" s="29"/>
    </row>
    <row r="600" ht="15.75" customHeight="1">
      <c r="C600" s="29"/>
      <c r="D600" s="30"/>
      <c r="F600" s="30"/>
      <c r="I600" s="29"/>
      <c r="J600" s="29"/>
      <c r="L600" s="29"/>
    </row>
    <row r="601" ht="15.75" customHeight="1">
      <c r="C601" s="29"/>
      <c r="D601" s="30"/>
      <c r="F601" s="30"/>
      <c r="I601" s="29"/>
      <c r="J601" s="29"/>
      <c r="L601" s="29"/>
    </row>
    <row r="602" ht="15.75" customHeight="1">
      <c r="C602" s="29"/>
      <c r="D602" s="30"/>
      <c r="F602" s="30"/>
      <c r="I602" s="29"/>
      <c r="J602" s="29"/>
      <c r="L602" s="29"/>
    </row>
    <row r="603" ht="15.75" customHeight="1">
      <c r="C603" s="29"/>
      <c r="D603" s="30"/>
      <c r="F603" s="30"/>
      <c r="I603" s="29"/>
      <c r="J603" s="29"/>
      <c r="L603" s="29"/>
    </row>
    <row r="604" ht="15.75" customHeight="1">
      <c r="C604" s="29"/>
      <c r="D604" s="30"/>
      <c r="F604" s="30"/>
      <c r="I604" s="29"/>
      <c r="J604" s="29"/>
      <c r="L604" s="29"/>
    </row>
    <row r="605" ht="15.75" customHeight="1">
      <c r="C605" s="29"/>
      <c r="D605" s="30"/>
      <c r="F605" s="30"/>
      <c r="I605" s="29"/>
      <c r="J605" s="29"/>
      <c r="L605" s="29"/>
    </row>
    <row r="606" ht="15.75" customHeight="1">
      <c r="C606" s="29"/>
      <c r="D606" s="30"/>
      <c r="F606" s="30"/>
      <c r="I606" s="29"/>
      <c r="J606" s="29"/>
      <c r="L606" s="29"/>
    </row>
    <row r="607" ht="15.75" customHeight="1">
      <c r="C607" s="29"/>
      <c r="D607" s="30"/>
      <c r="F607" s="30"/>
      <c r="I607" s="29"/>
      <c r="J607" s="29"/>
      <c r="L607" s="29"/>
    </row>
    <row r="608" ht="15.75" customHeight="1">
      <c r="C608" s="29"/>
      <c r="D608" s="30"/>
      <c r="F608" s="30"/>
      <c r="I608" s="29"/>
      <c r="J608" s="29"/>
      <c r="L608" s="29"/>
    </row>
    <row r="609" ht="15.75" customHeight="1">
      <c r="C609" s="29"/>
      <c r="D609" s="30"/>
      <c r="F609" s="30"/>
      <c r="I609" s="29"/>
      <c r="J609" s="29"/>
      <c r="L609" s="29"/>
    </row>
    <row r="610" ht="15.75" customHeight="1">
      <c r="C610" s="29"/>
      <c r="D610" s="30"/>
      <c r="F610" s="30"/>
      <c r="I610" s="29"/>
      <c r="J610" s="29"/>
      <c r="L610" s="29"/>
    </row>
    <row r="611" ht="15.75" customHeight="1">
      <c r="C611" s="29"/>
      <c r="D611" s="30"/>
      <c r="F611" s="30"/>
      <c r="I611" s="29"/>
      <c r="J611" s="29"/>
      <c r="L611" s="29"/>
    </row>
    <row r="612" ht="15.75" customHeight="1">
      <c r="C612" s="29"/>
      <c r="D612" s="30"/>
      <c r="F612" s="30"/>
      <c r="I612" s="29"/>
      <c r="J612" s="29"/>
      <c r="L612" s="29"/>
    </row>
    <row r="613" ht="15.75" customHeight="1">
      <c r="C613" s="29"/>
      <c r="D613" s="30"/>
      <c r="F613" s="30"/>
      <c r="I613" s="29"/>
      <c r="J613" s="29"/>
      <c r="L613" s="29"/>
    </row>
    <row r="614" ht="15.75" customHeight="1">
      <c r="C614" s="29"/>
      <c r="D614" s="30"/>
      <c r="F614" s="30"/>
      <c r="I614" s="29"/>
      <c r="J614" s="29"/>
      <c r="L614" s="29"/>
    </row>
    <row r="615" ht="15.75" customHeight="1">
      <c r="C615" s="29"/>
      <c r="D615" s="30"/>
      <c r="F615" s="30"/>
      <c r="I615" s="29"/>
      <c r="J615" s="29"/>
      <c r="L615" s="29"/>
    </row>
    <row r="616" ht="15.75" customHeight="1">
      <c r="C616" s="29"/>
      <c r="D616" s="30"/>
      <c r="F616" s="30"/>
      <c r="I616" s="29"/>
      <c r="J616" s="29"/>
      <c r="L616" s="29"/>
    </row>
    <row r="617" ht="15.75" customHeight="1">
      <c r="C617" s="29"/>
      <c r="D617" s="30"/>
      <c r="F617" s="30"/>
      <c r="I617" s="29"/>
      <c r="J617" s="29"/>
      <c r="L617" s="29"/>
    </row>
    <row r="618" ht="15.75" customHeight="1">
      <c r="C618" s="29"/>
      <c r="D618" s="30"/>
      <c r="F618" s="30"/>
      <c r="I618" s="29"/>
      <c r="J618" s="29"/>
      <c r="L618" s="29"/>
    </row>
    <row r="619" ht="15.75" customHeight="1">
      <c r="C619" s="29"/>
      <c r="D619" s="30"/>
      <c r="F619" s="30"/>
      <c r="I619" s="29"/>
      <c r="J619" s="29"/>
      <c r="L619" s="29"/>
    </row>
    <row r="620" ht="15.75" customHeight="1">
      <c r="C620" s="29"/>
      <c r="D620" s="30"/>
      <c r="F620" s="30"/>
      <c r="I620" s="29"/>
      <c r="J620" s="29"/>
      <c r="L620" s="29"/>
    </row>
    <row r="621" ht="15.75" customHeight="1">
      <c r="C621" s="29"/>
      <c r="D621" s="30"/>
      <c r="F621" s="30"/>
      <c r="I621" s="29"/>
      <c r="J621" s="29"/>
      <c r="L621" s="29"/>
    </row>
    <row r="622" ht="15.75" customHeight="1">
      <c r="C622" s="29"/>
      <c r="D622" s="30"/>
      <c r="F622" s="30"/>
      <c r="I622" s="29"/>
      <c r="J622" s="29"/>
      <c r="L622" s="29"/>
    </row>
    <row r="623" ht="15.75" customHeight="1">
      <c r="C623" s="29"/>
      <c r="D623" s="30"/>
      <c r="F623" s="30"/>
      <c r="I623" s="29"/>
      <c r="J623" s="29"/>
      <c r="L623" s="29"/>
    </row>
    <row r="624" ht="15.75" customHeight="1">
      <c r="C624" s="29"/>
      <c r="D624" s="30"/>
      <c r="F624" s="30"/>
      <c r="I624" s="29"/>
      <c r="J624" s="29"/>
      <c r="L624" s="29"/>
    </row>
    <row r="625" ht="15.75" customHeight="1">
      <c r="C625" s="29"/>
      <c r="D625" s="30"/>
      <c r="F625" s="30"/>
      <c r="I625" s="29"/>
      <c r="J625" s="29"/>
      <c r="L625" s="29"/>
    </row>
    <row r="626" ht="15.75" customHeight="1">
      <c r="C626" s="29"/>
      <c r="D626" s="30"/>
      <c r="F626" s="30"/>
      <c r="I626" s="29"/>
      <c r="J626" s="29"/>
      <c r="L626" s="29"/>
    </row>
    <row r="627" ht="15.75" customHeight="1">
      <c r="C627" s="29"/>
      <c r="D627" s="30"/>
      <c r="F627" s="30"/>
      <c r="I627" s="29"/>
      <c r="J627" s="29"/>
      <c r="L627" s="29"/>
    </row>
    <row r="628" ht="15.75" customHeight="1">
      <c r="C628" s="29"/>
      <c r="D628" s="30"/>
      <c r="F628" s="30"/>
      <c r="I628" s="29"/>
      <c r="J628" s="29"/>
      <c r="L628" s="29"/>
    </row>
    <row r="629" ht="15.75" customHeight="1">
      <c r="C629" s="29"/>
      <c r="D629" s="30"/>
      <c r="F629" s="30"/>
      <c r="I629" s="29"/>
      <c r="J629" s="29"/>
      <c r="L629" s="29"/>
    </row>
    <row r="630" ht="15.75" customHeight="1">
      <c r="C630" s="29"/>
      <c r="D630" s="30"/>
      <c r="F630" s="30"/>
      <c r="I630" s="29"/>
      <c r="J630" s="29"/>
      <c r="L630" s="29"/>
    </row>
    <row r="631" ht="15.75" customHeight="1">
      <c r="C631" s="29"/>
      <c r="D631" s="30"/>
      <c r="F631" s="30"/>
      <c r="I631" s="29"/>
      <c r="J631" s="29"/>
      <c r="L631" s="29"/>
    </row>
    <row r="632" ht="15.75" customHeight="1">
      <c r="C632" s="29"/>
      <c r="D632" s="30"/>
      <c r="F632" s="30"/>
      <c r="I632" s="29"/>
      <c r="J632" s="29"/>
      <c r="L632" s="29"/>
    </row>
    <row r="633" ht="15.75" customHeight="1">
      <c r="C633" s="29"/>
      <c r="D633" s="30"/>
      <c r="F633" s="30"/>
      <c r="I633" s="29"/>
      <c r="J633" s="29"/>
      <c r="L633" s="29"/>
    </row>
    <row r="634" ht="15.75" customHeight="1">
      <c r="C634" s="29"/>
      <c r="D634" s="30"/>
      <c r="F634" s="30"/>
      <c r="I634" s="29"/>
      <c r="J634" s="29"/>
      <c r="L634" s="29"/>
    </row>
    <row r="635" ht="15.75" customHeight="1">
      <c r="C635" s="29"/>
      <c r="D635" s="30"/>
      <c r="F635" s="30"/>
      <c r="I635" s="29"/>
      <c r="J635" s="29"/>
      <c r="L635" s="29"/>
    </row>
    <row r="636" ht="15.75" customHeight="1">
      <c r="C636" s="29"/>
      <c r="D636" s="30"/>
      <c r="F636" s="30"/>
      <c r="I636" s="29"/>
      <c r="J636" s="29"/>
      <c r="L636" s="29"/>
    </row>
    <row r="637" ht="15.75" customHeight="1">
      <c r="C637" s="29"/>
      <c r="D637" s="30"/>
      <c r="F637" s="30"/>
      <c r="I637" s="29"/>
      <c r="J637" s="29"/>
      <c r="L637" s="29"/>
    </row>
    <row r="638" ht="15.75" customHeight="1">
      <c r="C638" s="29"/>
      <c r="D638" s="30"/>
      <c r="F638" s="30"/>
      <c r="I638" s="29"/>
      <c r="J638" s="29"/>
      <c r="L638" s="29"/>
    </row>
    <row r="639" ht="15.75" customHeight="1">
      <c r="C639" s="29"/>
      <c r="D639" s="30"/>
      <c r="F639" s="30"/>
      <c r="I639" s="29"/>
      <c r="J639" s="29"/>
      <c r="L639" s="29"/>
    </row>
    <row r="640" ht="15.75" customHeight="1">
      <c r="C640" s="29"/>
      <c r="D640" s="30"/>
      <c r="F640" s="30"/>
      <c r="I640" s="29"/>
      <c r="J640" s="29"/>
      <c r="L640" s="29"/>
    </row>
    <row r="641" ht="15.75" customHeight="1">
      <c r="C641" s="29"/>
      <c r="D641" s="30"/>
      <c r="F641" s="30"/>
      <c r="I641" s="29"/>
      <c r="J641" s="29"/>
      <c r="L641" s="29"/>
    </row>
    <row r="642" ht="15.75" customHeight="1">
      <c r="C642" s="29"/>
      <c r="D642" s="30"/>
      <c r="F642" s="30"/>
      <c r="I642" s="29"/>
      <c r="J642" s="29"/>
      <c r="L642" s="29"/>
    </row>
    <row r="643" ht="15.75" customHeight="1">
      <c r="C643" s="29"/>
      <c r="D643" s="30"/>
      <c r="F643" s="30"/>
      <c r="I643" s="29"/>
      <c r="J643" s="29"/>
      <c r="L643" s="29"/>
    </row>
    <row r="644" ht="15.75" customHeight="1">
      <c r="C644" s="29"/>
      <c r="D644" s="30"/>
      <c r="F644" s="30"/>
      <c r="I644" s="29"/>
      <c r="J644" s="29"/>
      <c r="L644" s="29"/>
    </row>
    <row r="645" ht="15.75" customHeight="1">
      <c r="C645" s="29"/>
      <c r="D645" s="30"/>
      <c r="F645" s="30"/>
      <c r="I645" s="29"/>
      <c r="J645" s="29"/>
      <c r="L645" s="29"/>
    </row>
    <row r="646" ht="15.75" customHeight="1">
      <c r="C646" s="29"/>
      <c r="D646" s="30"/>
      <c r="F646" s="30"/>
      <c r="I646" s="29"/>
      <c r="J646" s="29"/>
      <c r="L646" s="29"/>
    </row>
    <row r="647" ht="15.75" customHeight="1">
      <c r="C647" s="29"/>
      <c r="D647" s="30"/>
      <c r="F647" s="30"/>
      <c r="I647" s="29"/>
      <c r="J647" s="29"/>
      <c r="L647" s="29"/>
    </row>
    <row r="648" ht="15.75" customHeight="1">
      <c r="C648" s="29"/>
      <c r="D648" s="30"/>
      <c r="F648" s="30"/>
      <c r="I648" s="29"/>
      <c r="J648" s="29"/>
      <c r="L648" s="29"/>
    </row>
    <row r="649" ht="15.75" customHeight="1">
      <c r="C649" s="29"/>
      <c r="D649" s="30"/>
      <c r="F649" s="30"/>
      <c r="I649" s="29"/>
      <c r="J649" s="29"/>
      <c r="L649" s="29"/>
    </row>
    <row r="650" ht="15.75" customHeight="1">
      <c r="C650" s="29"/>
      <c r="D650" s="30"/>
      <c r="F650" s="30"/>
      <c r="I650" s="29"/>
      <c r="J650" s="29"/>
      <c r="L650" s="29"/>
    </row>
    <row r="651" ht="15.75" customHeight="1">
      <c r="C651" s="29"/>
      <c r="D651" s="30"/>
      <c r="F651" s="30"/>
      <c r="I651" s="29"/>
      <c r="J651" s="29"/>
      <c r="L651" s="29"/>
    </row>
    <row r="652" ht="15.75" customHeight="1">
      <c r="C652" s="29"/>
      <c r="D652" s="30"/>
      <c r="F652" s="30"/>
      <c r="I652" s="29"/>
      <c r="J652" s="29"/>
      <c r="L652" s="29"/>
    </row>
    <row r="653" ht="15.75" customHeight="1">
      <c r="C653" s="29"/>
      <c r="D653" s="30"/>
      <c r="F653" s="30"/>
      <c r="I653" s="29"/>
      <c r="J653" s="29"/>
      <c r="L653" s="29"/>
    </row>
    <row r="654" ht="15.75" customHeight="1">
      <c r="C654" s="29"/>
      <c r="D654" s="30"/>
      <c r="F654" s="30"/>
      <c r="I654" s="29"/>
      <c r="J654" s="29"/>
      <c r="L654" s="29"/>
    </row>
    <row r="655" ht="15.75" customHeight="1">
      <c r="C655" s="29"/>
      <c r="D655" s="30"/>
      <c r="F655" s="30"/>
      <c r="I655" s="29"/>
      <c r="J655" s="29"/>
      <c r="L655" s="29"/>
    </row>
    <row r="656" ht="15.75" customHeight="1">
      <c r="C656" s="29"/>
      <c r="D656" s="30"/>
      <c r="F656" s="30"/>
      <c r="I656" s="29"/>
      <c r="J656" s="29"/>
      <c r="L656" s="29"/>
    </row>
    <row r="657" ht="15.75" customHeight="1">
      <c r="C657" s="29"/>
      <c r="D657" s="30"/>
      <c r="F657" s="30"/>
      <c r="I657" s="29"/>
      <c r="J657" s="29"/>
      <c r="L657" s="29"/>
    </row>
    <row r="658" ht="15.75" customHeight="1">
      <c r="C658" s="29"/>
      <c r="D658" s="30"/>
      <c r="F658" s="30"/>
      <c r="I658" s="29"/>
      <c r="J658" s="29"/>
      <c r="L658" s="29"/>
    </row>
    <row r="659" ht="15.75" customHeight="1">
      <c r="C659" s="29"/>
      <c r="D659" s="30"/>
      <c r="F659" s="30"/>
      <c r="I659" s="29"/>
      <c r="J659" s="29"/>
      <c r="L659" s="29"/>
    </row>
    <row r="660" ht="15.75" customHeight="1">
      <c r="C660" s="29"/>
      <c r="D660" s="30"/>
      <c r="F660" s="30"/>
      <c r="I660" s="29"/>
      <c r="J660" s="29"/>
      <c r="L660" s="29"/>
    </row>
    <row r="661" ht="15.75" customHeight="1">
      <c r="C661" s="29"/>
      <c r="D661" s="30"/>
      <c r="F661" s="30"/>
      <c r="I661" s="29"/>
      <c r="J661" s="29"/>
      <c r="L661" s="29"/>
    </row>
    <row r="662" ht="15.75" customHeight="1">
      <c r="C662" s="29"/>
      <c r="D662" s="30"/>
      <c r="F662" s="30"/>
      <c r="I662" s="29"/>
      <c r="J662" s="29"/>
      <c r="L662" s="29"/>
    </row>
    <row r="663" ht="15.75" customHeight="1">
      <c r="C663" s="29"/>
      <c r="D663" s="30"/>
      <c r="F663" s="30"/>
      <c r="I663" s="29"/>
      <c r="J663" s="29"/>
      <c r="L663" s="29"/>
    </row>
    <row r="664" ht="15.75" customHeight="1">
      <c r="C664" s="29"/>
      <c r="D664" s="30"/>
      <c r="F664" s="30"/>
      <c r="I664" s="29"/>
      <c r="J664" s="29"/>
      <c r="L664" s="29"/>
    </row>
    <row r="665" ht="15.75" customHeight="1">
      <c r="C665" s="29"/>
      <c r="D665" s="30"/>
      <c r="F665" s="30"/>
      <c r="I665" s="29"/>
      <c r="J665" s="29"/>
      <c r="L665" s="29"/>
    </row>
    <row r="666" ht="15.75" customHeight="1">
      <c r="C666" s="29"/>
      <c r="D666" s="30"/>
      <c r="F666" s="30"/>
      <c r="I666" s="29"/>
      <c r="J666" s="29"/>
      <c r="L666" s="29"/>
    </row>
    <row r="667" ht="15.75" customHeight="1">
      <c r="C667" s="29"/>
      <c r="D667" s="30"/>
      <c r="F667" s="30"/>
      <c r="I667" s="29"/>
      <c r="J667" s="29"/>
      <c r="L667" s="29"/>
    </row>
    <row r="668" ht="15.75" customHeight="1">
      <c r="C668" s="29"/>
      <c r="D668" s="30"/>
      <c r="F668" s="30"/>
      <c r="I668" s="29"/>
      <c r="J668" s="29"/>
      <c r="L668" s="29"/>
    </row>
    <row r="669" ht="15.75" customHeight="1">
      <c r="C669" s="29"/>
      <c r="D669" s="30"/>
      <c r="F669" s="30"/>
      <c r="I669" s="29"/>
      <c r="J669" s="29"/>
      <c r="L669" s="29"/>
    </row>
    <row r="670" ht="15.75" customHeight="1">
      <c r="C670" s="29"/>
      <c r="D670" s="30"/>
      <c r="F670" s="30"/>
      <c r="I670" s="29"/>
      <c r="J670" s="29"/>
      <c r="L670" s="29"/>
    </row>
    <row r="671" ht="15.75" customHeight="1">
      <c r="C671" s="29"/>
      <c r="D671" s="30"/>
      <c r="F671" s="30"/>
      <c r="I671" s="29"/>
      <c r="J671" s="29"/>
      <c r="L671" s="29"/>
    </row>
    <row r="672" ht="15.75" customHeight="1">
      <c r="C672" s="29"/>
      <c r="D672" s="30"/>
      <c r="F672" s="30"/>
      <c r="I672" s="29"/>
      <c r="J672" s="29"/>
      <c r="L672" s="29"/>
    </row>
    <row r="673" ht="15.75" customHeight="1">
      <c r="C673" s="29"/>
      <c r="D673" s="30"/>
      <c r="F673" s="30"/>
      <c r="I673" s="29"/>
      <c r="J673" s="29"/>
      <c r="L673" s="29"/>
    </row>
    <row r="674" ht="15.75" customHeight="1">
      <c r="C674" s="29"/>
      <c r="D674" s="30"/>
      <c r="F674" s="30"/>
      <c r="I674" s="29"/>
      <c r="J674" s="29"/>
      <c r="L674" s="29"/>
    </row>
    <row r="675" ht="15.75" customHeight="1">
      <c r="C675" s="29"/>
      <c r="D675" s="30"/>
      <c r="F675" s="30"/>
      <c r="I675" s="29"/>
      <c r="J675" s="29"/>
      <c r="L675" s="29"/>
    </row>
    <row r="676" ht="15.75" customHeight="1">
      <c r="C676" s="29"/>
      <c r="D676" s="30"/>
      <c r="F676" s="30"/>
      <c r="I676" s="29"/>
      <c r="J676" s="29"/>
      <c r="L676" s="29"/>
    </row>
    <row r="677" ht="15.75" customHeight="1">
      <c r="C677" s="29"/>
      <c r="D677" s="30"/>
      <c r="F677" s="30"/>
      <c r="I677" s="29"/>
      <c r="J677" s="29"/>
      <c r="L677" s="29"/>
    </row>
    <row r="678" ht="15.75" customHeight="1">
      <c r="C678" s="29"/>
      <c r="D678" s="30"/>
      <c r="F678" s="30"/>
      <c r="I678" s="29"/>
      <c r="J678" s="29"/>
      <c r="L678" s="29"/>
    </row>
    <row r="679" ht="15.75" customHeight="1">
      <c r="C679" s="29"/>
      <c r="D679" s="30"/>
      <c r="F679" s="30"/>
      <c r="I679" s="29"/>
      <c r="J679" s="29"/>
      <c r="L679" s="29"/>
    </row>
    <row r="680" ht="15.75" customHeight="1">
      <c r="C680" s="29"/>
      <c r="D680" s="30"/>
      <c r="F680" s="30"/>
      <c r="I680" s="29"/>
      <c r="J680" s="29"/>
      <c r="L680" s="29"/>
    </row>
    <row r="681" ht="15.75" customHeight="1">
      <c r="C681" s="29"/>
      <c r="D681" s="30"/>
      <c r="F681" s="30"/>
      <c r="I681" s="29"/>
      <c r="J681" s="29"/>
      <c r="L681" s="29"/>
    </row>
    <row r="682" ht="15.75" customHeight="1">
      <c r="C682" s="29"/>
      <c r="D682" s="30"/>
      <c r="F682" s="30"/>
      <c r="I682" s="29"/>
      <c r="J682" s="29"/>
      <c r="L682" s="29"/>
    </row>
    <row r="683" ht="15.75" customHeight="1">
      <c r="C683" s="29"/>
      <c r="D683" s="30"/>
      <c r="F683" s="30"/>
      <c r="I683" s="29"/>
      <c r="J683" s="29"/>
      <c r="L683" s="29"/>
    </row>
    <row r="684" ht="15.75" customHeight="1">
      <c r="C684" s="29"/>
      <c r="D684" s="30"/>
      <c r="F684" s="30"/>
      <c r="I684" s="29"/>
      <c r="J684" s="29"/>
      <c r="L684" s="29"/>
    </row>
    <row r="685" ht="15.75" customHeight="1">
      <c r="C685" s="29"/>
      <c r="D685" s="30"/>
      <c r="F685" s="30"/>
      <c r="I685" s="29"/>
      <c r="J685" s="29"/>
      <c r="L685" s="29"/>
    </row>
    <row r="686" ht="15.75" customHeight="1">
      <c r="C686" s="29"/>
      <c r="D686" s="30"/>
      <c r="F686" s="30"/>
      <c r="I686" s="29"/>
      <c r="J686" s="29"/>
      <c r="L686" s="29"/>
    </row>
    <row r="687" ht="15.75" customHeight="1">
      <c r="C687" s="29"/>
      <c r="D687" s="30"/>
      <c r="F687" s="30"/>
      <c r="I687" s="29"/>
      <c r="J687" s="29"/>
      <c r="L687" s="29"/>
    </row>
    <row r="688" ht="15.75" customHeight="1">
      <c r="C688" s="29"/>
      <c r="D688" s="30"/>
      <c r="F688" s="30"/>
      <c r="I688" s="29"/>
      <c r="J688" s="29"/>
      <c r="L688" s="29"/>
    </row>
    <row r="689" ht="15.75" customHeight="1">
      <c r="C689" s="29"/>
      <c r="D689" s="30"/>
      <c r="F689" s="30"/>
      <c r="I689" s="29"/>
      <c r="J689" s="29"/>
      <c r="L689" s="29"/>
    </row>
    <row r="690" ht="15.75" customHeight="1">
      <c r="C690" s="29"/>
      <c r="D690" s="30"/>
      <c r="F690" s="30"/>
      <c r="I690" s="29"/>
      <c r="J690" s="29"/>
      <c r="L690" s="29"/>
    </row>
    <row r="691" ht="15.75" customHeight="1">
      <c r="C691" s="29"/>
      <c r="D691" s="30"/>
      <c r="F691" s="30"/>
      <c r="I691" s="29"/>
      <c r="J691" s="29"/>
      <c r="L691" s="29"/>
    </row>
    <row r="692" ht="15.75" customHeight="1">
      <c r="C692" s="29"/>
      <c r="D692" s="30"/>
      <c r="F692" s="30"/>
      <c r="I692" s="29"/>
      <c r="J692" s="29"/>
      <c r="L692" s="29"/>
    </row>
    <row r="693" ht="15.75" customHeight="1">
      <c r="C693" s="29"/>
      <c r="D693" s="30"/>
      <c r="F693" s="30"/>
      <c r="I693" s="29"/>
      <c r="J693" s="29"/>
      <c r="L693" s="29"/>
    </row>
    <row r="694" ht="15.75" customHeight="1">
      <c r="C694" s="29"/>
      <c r="D694" s="30"/>
      <c r="F694" s="30"/>
      <c r="I694" s="29"/>
      <c r="J694" s="29"/>
      <c r="L694" s="29"/>
    </row>
    <row r="695" ht="15.75" customHeight="1">
      <c r="C695" s="29"/>
      <c r="D695" s="30"/>
      <c r="F695" s="30"/>
      <c r="I695" s="29"/>
      <c r="J695" s="29"/>
      <c r="L695" s="29"/>
    </row>
    <row r="696" ht="15.75" customHeight="1">
      <c r="C696" s="29"/>
      <c r="D696" s="30"/>
      <c r="F696" s="30"/>
      <c r="I696" s="29"/>
      <c r="J696" s="29"/>
      <c r="L696" s="29"/>
    </row>
    <row r="697" ht="15.75" customHeight="1">
      <c r="C697" s="29"/>
      <c r="D697" s="30"/>
      <c r="F697" s="30"/>
      <c r="I697" s="29"/>
      <c r="J697" s="29"/>
      <c r="L697" s="29"/>
    </row>
    <row r="698" ht="15.75" customHeight="1">
      <c r="C698" s="29"/>
      <c r="D698" s="30"/>
      <c r="F698" s="30"/>
      <c r="I698" s="29"/>
      <c r="J698" s="29"/>
      <c r="L698" s="29"/>
    </row>
    <row r="699" ht="15.75" customHeight="1">
      <c r="C699" s="29"/>
      <c r="D699" s="30"/>
      <c r="F699" s="30"/>
      <c r="I699" s="29"/>
      <c r="J699" s="29"/>
      <c r="L699" s="29"/>
    </row>
    <row r="700" ht="15.75" customHeight="1">
      <c r="C700" s="29"/>
      <c r="D700" s="30"/>
      <c r="F700" s="30"/>
      <c r="I700" s="29"/>
      <c r="J700" s="29"/>
      <c r="L700" s="29"/>
    </row>
    <row r="701" ht="15.75" customHeight="1">
      <c r="C701" s="29"/>
      <c r="D701" s="30"/>
      <c r="F701" s="30"/>
      <c r="I701" s="29"/>
      <c r="J701" s="29"/>
      <c r="L701" s="29"/>
    </row>
    <row r="702" ht="15.75" customHeight="1">
      <c r="C702" s="29"/>
      <c r="D702" s="30"/>
      <c r="F702" s="30"/>
      <c r="I702" s="29"/>
      <c r="J702" s="29"/>
      <c r="L702" s="29"/>
    </row>
    <row r="703" ht="15.75" customHeight="1">
      <c r="C703" s="29"/>
      <c r="D703" s="30"/>
      <c r="F703" s="30"/>
      <c r="I703" s="29"/>
      <c r="J703" s="29"/>
      <c r="L703" s="29"/>
    </row>
    <row r="704" ht="15.75" customHeight="1">
      <c r="C704" s="29"/>
      <c r="D704" s="30"/>
      <c r="F704" s="30"/>
      <c r="I704" s="29"/>
      <c r="J704" s="29"/>
      <c r="L704" s="29"/>
    </row>
    <row r="705" ht="15.75" customHeight="1">
      <c r="C705" s="29"/>
      <c r="D705" s="30"/>
      <c r="F705" s="30"/>
      <c r="I705" s="29"/>
      <c r="J705" s="29"/>
      <c r="L705" s="29"/>
    </row>
    <row r="706" ht="15.75" customHeight="1">
      <c r="C706" s="29"/>
      <c r="D706" s="30"/>
      <c r="F706" s="30"/>
      <c r="I706" s="29"/>
      <c r="J706" s="29"/>
      <c r="L706" s="29"/>
    </row>
    <row r="707" ht="15.75" customHeight="1">
      <c r="C707" s="29"/>
      <c r="D707" s="30"/>
      <c r="F707" s="30"/>
      <c r="I707" s="29"/>
      <c r="J707" s="29"/>
      <c r="L707" s="29"/>
    </row>
    <row r="708" ht="15.75" customHeight="1">
      <c r="C708" s="29"/>
      <c r="D708" s="30"/>
      <c r="F708" s="30"/>
      <c r="I708" s="29"/>
      <c r="J708" s="29"/>
      <c r="L708" s="29"/>
    </row>
    <row r="709" ht="15.75" customHeight="1">
      <c r="C709" s="29"/>
      <c r="D709" s="30"/>
      <c r="F709" s="30"/>
      <c r="I709" s="29"/>
      <c r="J709" s="29"/>
      <c r="L709" s="29"/>
    </row>
    <row r="710" ht="15.75" customHeight="1">
      <c r="C710" s="29"/>
      <c r="D710" s="30"/>
      <c r="F710" s="30"/>
      <c r="I710" s="29"/>
      <c r="J710" s="29"/>
      <c r="L710" s="29"/>
    </row>
    <row r="711" ht="15.75" customHeight="1">
      <c r="C711" s="29"/>
      <c r="D711" s="30"/>
      <c r="F711" s="30"/>
      <c r="I711" s="29"/>
      <c r="J711" s="29"/>
      <c r="L711" s="29"/>
    </row>
    <row r="712" ht="15.75" customHeight="1">
      <c r="C712" s="29"/>
      <c r="D712" s="30"/>
      <c r="F712" s="30"/>
      <c r="I712" s="29"/>
      <c r="J712" s="29"/>
      <c r="L712" s="29"/>
    </row>
    <row r="713" ht="15.75" customHeight="1">
      <c r="C713" s="29"/>
      <c r="D713" s="30"/>
      <c r="F713" s="30"/>
      <c r="I713" s="29"/>
      <c r="J713" s="29"/>
      <c r="L713" s="29"/>
    </row>
    <row r="714" ht="15.75" customHeight="1">
      <c r="C714" s="29"/>
      <c r="D714" s="30"/>
      <c r="F714" s="30"/>
      <c r="I714" s="29"/>
      <c r="J714" s="29"/>
      <c r="L714" s="29"/>
    </row>
    <row r="715" ht="15.75" customHeight="1">
      <c r="C715" s="29"/>
      <c r="D715" s="30"/>
      <c r="F715" s="30"/>
      <c r="I715" s="29"/>
      <c r="J715" s="29"/>
      <c r="L715" s="29"/>
    </row>
    <row r="716" ht="15.75" customHeight="1">
      <c r="C716" s="29"/>
      <c r="D716" s="30"/>
      <c r="F716" s="30"/>
      <c r="I716" s="29"/>
      <c r="J716" s="29"/>
      <c r="L716" s="29"/>
    </row>
    <row r="717" ht="15.75" customHeight="1">
      <c r="C717" s="29"/>
      <c r="D717" s="30"/>
      <c r="F717" s="30"/>
      <c r="I717" s="29"/>
      <c r="J717" s="29"/>
      <c r="L717" s="29"/>
    </row>
    <row r="718" ht="15.75" customHeight="1">
      <c r="C718" s="29"/>
      <c r="D718" s="30"/>
      <c r="F718" s="30"/>
      <c r="I718" s="29"/>
      <c r="J718" s="29"/>
      <c r="L718" s="29"/>
    </row>
    <row r="719" ht="15.75" customHeight="1">
      <c r="C719" s="29"/>
      <c r="D719" s="30"/>
      <c r="F719" s="30"/>
      <c r="I719" s="29"/>
      <c r="J719" s="29"/>
      <c r="L719" s="29"/>
    </row>
    <row r="720" ht="15.75" customHeight="1">
      <c r="C720" s="29"/>
      <c r="D720" s="30"/>
      <c r="F720" s="30"/>
      <c r="I720" s="29"/>
      <c r="J720" s="29"/>
      <c r="L720" s="29"/>
    </row>
    <row r="721" ht="15.75" customHeight="1">
      <c r="C721" s="29"/>
      <c r="D721" s="30"/>
      <c r="F721" s="30"/>
      <c r="I721" s="29"/>
      <c r="J721" s="29"/>
      <c r="L721" s="29"/>
    </row>
    <row r="722" ht="15.75" customHeight="1">
      <c r="C722" s="29"/>
      <c r="D722" s="30"/>
      <c r="F722" s="30"/>
      <c r="I722" s="29"/>
      <c r="J722" s="29"/>
      <c r="L722" s="29"/>
    </row>
    <row r="723" ht="15.75" customHeight="1">
      <c r="C723" s="29"/>
      <c r="D723" s="30"/>
      <c r="F723" s="30"/>
      <c r="I723" s="29"/>
      <c r="J723" s="29"/>
      <c r="L723" s="29"/>
    </row>
    <row r="724" ht="15.75" customHeight="1">
      <c r="C724" s="29"/>
      <c r="D724" s="30"/>
      <c r="F724" s="30"/>
      <c r="I724" s="29"/>
      <c r="J724" s="29"/>
      <c r="L724" s="29"/>
    </row>
    <row r="725" ht="15.75" customHeight="1">
      <c r="C725" s="29"/>
      <c r="D725" s="30"/>
      <c r="F725" s="30"/>
      <c r="I725" s="29"/>
      <c r="J725" s="29"/>
      <c r="L725" s="29"/>
    </row>
    <row r="726" ht="15.75" customHeight="1">
      <c r="C726" s="29"/>
      <c r="D726" s="30"/>
      <c r="F726" s="30"/>
      <c r="I726" s="29"/>
      <c r="J726" s="29"/>
      <c r="L726" s="29"/>
    </row>
    <row r="727" ht="15.75" customHeight="1">
      <c r="C727" s="29"/>
      <c r="D727" s="30"/>
      <c r="F727" s="30"/>
      <c r="I727" s="29"/>
      <c r="J727" s="29"/>
      <c r="L727" s="29"/>
    </row>
    <row r="728" ht="15.75" customHeight="1">
      <c r="C728" s="29"/>
      <c r="D728" s="30"/>
      <c r="F728" s="30"/>
      <c r="I728" s="29"/>
      <c r="J728" s="29"/>
      <c r="L728" s="29"/>
    </row>
    <row r="729" ht="15.75" customHeight="1">
      <c r="C729" s="29"/>
      <c r="D729" s="30"/>
      <c r="F729" s="30"/>
      <c r="I729" s="29"/>
      <c r="J729" s="29"/>
      <c r="L729" s="29"/>
    </row>
    <row r="730" ht="15.75" customHeight="1">
      <c r="C730" s="29"/>
      <c r="D730" s="30"/>
      <c r="F730" s="30"/>
      <c r="I730" s="29"/>
      <c r="J730" s="29"/>
      <c r="L730" s="29"/>
    </row>
    <row r="731" ht="15.75" customHeight="1">
      <c r="C731" s="29"/>
      <c r="D731" s="30"/>
      <c r="F731" s="30"/>
      <c r="I731" s="29"/>
      <c r="J731" s="29"/>
      <c r="L731" s="29"/>
    </row>
    <row r="732" ht="15.75" customHeight="1">
      <c r="C732" s="29"/>
      <c r="D732" s="30"/>
      <c r="F732" s="30"/>
      <c r="I732" s="29"/>
      <c r="J732" s="29"/>
      <c r="L732" s="29"/>
    </row>
    <row r="733" ht="15.75" customHeight="1">
      <c r="C733" s="29"/>
      <c r="D733" s="30"/>
      <c r="F733" s="30"/>
      <c r="I733" s="29"/>
      <c r="J733" s="29"/>
      <c r="L733" s="29"/>
    </row>
    <row r="734" ht="15.75" customHeight="1">
      <c r="C734" s="29"/>
      <c r="D734" s="30"/>
      <c r="F734" s="30"/>
      <c r="I734" s="29"/>
      <c r="J734" s="29"/>
      <c r="L734" s="29"/>
    </row>
    <row r="735" ht="15.75" customHeight="1">
      <c r="C735" s="29"/>
      <c r="D735" s="30"/>
      <c r="F735" s="30"/>
      <c r="I735" s="29"/>
      <c r="J735" s="29"/>
      <c r="L735" s="29"/>
    </row>
    <row r="736" ht="15.75" customHeight="1">
      <c r="C736" s="29"/>
      <c r="D736" s="30"/>
      <c r="F736" s="30"/>
      <c r="I736" s="29"/>
      <c r="J736" s="29"/>
      <c r="L736" s="29"/>
    </row>
    <row r="737" ht="15.75" customHeight="1">
      <c r="C737" s="29"/>
      <c r="D737" s="30"/>
      <c r="F737" s="30"/>
      <c r="I737" s="29"/>
      <c r="J737" s="29"/>
      <c r="L737" s="29"/>
    </row>
    <row r="738" ht="15.75" customHeight="1">
      <c r="C738" s="29"/>
      <c r="D738" s="30"/>
      <c r="F738" s="30"/>
      <c r="I738" s="29"/>
      <c r="J738" s="29"/>
      <c r="L738" s="29"/>
    </row>
    <row r="739" ht="15.75" customHeight="1">
      <c r="C739" s="29"/>
      <c r="D739" s="30"/>
      <c r="F739" s="30"/>
      <c r="I739" s="29"/>
      <c r="J739" s="29"/>
      <c r="L739" s="29"/>
    </row>
    <row r="740" ht="15.75" customHeight="1">
      <c r="C740" s="29"/>
      <c r="D740" s="30"/>
      <c r="F740" s="30"/>
      <c r="I740" s="29"/>
      <c r="J740" s="29"/>
      <c r="L740" s="29"/>
    </row>
    <row r="741" ht="15.75" customHeight="1">
      <c r="C741" s="29"/>
      <c r="D741" s="30"/>
      <c r="F741" s="30"/>
      <c r="I741" s="29"/>
      <c r="J741" s="29"/>
      <c r="L741" s="29"/>
    </row>
    <row r="742" ht="15.75" customHeight="1">
      <c r="C742" s="29"/>
      <c r="D742" s="30"/>
      <c r="F742" s="30"/>
      <c r="I742" s="29"/>
      <c r="J742" s="29"/>
      <c r="L742" s="29"/>
    </row>
    <row r="743" ht="15.75" customHeight="1">
      <c r="C743" s="29"/>
      <c r="D743" s="30"/>
      <c r="F743" s="30"/>
      <c r="I743" s="29"/>
      <c r="J743" s="29"/>
      <c r="L743" s="29"/>
    </row>
    <row r="744" ht="15.75" customHeight="1">
      <c r="C744" s="29"/>
      <c r="D744" s="30"/>
      <c r="F744" s="30"/>
      <c r="I744" s="29"/>
      <c r="J744" s="29"/>
      <c r="L744" s="29"/>
    </row>
    <row r="745" ht="15.75" customHeight="1">
      <c r="C745" s="29"/>
      <c r="D745" s="30"/>
      <c r="F745" s="30"/>
      <c r="I745" s="29"/>
      <c r="J745" s="29"/>
      <c r="L745" s="29"/>
    </row>
    <row r="746" ht="15.75" customHeight="1">
      <c r="C746" s="29"/>
      <c r="D746" s="30"/>
      <c r="F746" s="30"/>
      <c r="I746" s="29"/>
      <c r="J746" s="29"/>
      <c r="L746" s="29"/>
    </row>
    <row r="747" ht="15.75" customHeight="1">
      <c r="C747" s="29"/>
      <c r="D747" s="30"/>
      <c r="F747" s="30"/>
      <c r="I747" s="29"/>
      <c r="J747" s="29"/>
      <c r="L747" s="29"/>
    </row>
    <row r="748" ht="15.75" customHeight="1">
      <c r="C748" s="29"/>
      <c r="D748" s="30"/>
      <c r="F748" s="30"/>
      <c r="I748" s="29"/>
      <c r="J748" s="29"/>
      <c r="L748" s="29"/>
    </row>
    <row r="749" ht="15.75" customHeight="1">
      <c r="C749" s="29"/>
      <c r="D749" s="30"/>
      <c r="F749" s="30"/>
      <c r="I749" s="29"/>
      <c r="J749" s="29"/>
      <c r="L749" s="29"/>
    </row>
    <row r="750" ht="15.75" customHeight="1">
      <c r="C750" s="29"/>
      <c r="D750" s="30"/>
      <c r="F750" s="30"/>
      <c r="I750" s="29"/>
      <c r="J750" s="29"/>
      <c r="L750" s="29"/>
    </row>
    <row r="751" ht="15.75" customHeight="1">
      <c r="C751" s="29"/>
      <c r="D751" s="30"/>
      <c r="F751" s="30"/>
      <c r="I751" s="29"/>
      <c r="J751" s="29"/>
      <c r="L751" s="29"/>
    </row>
    <row r="752" ht="15.75" customHeight="1">
      <c r="C752" s="29"/>
      <c r="D752" s="30"/>
      <c r="F752" s="30"/>
      <c r="I752" s="29"/>
      <c r="J752" s="29"/>
      <c r="L752" s="29"/>
    </row>
    <row r="753" ht="15.75" customHeight="1">
      <c r="C753" s="29"/>
      <c r="D753" s="30"/>
      <c r="F753" s="30"/>
      <c r="I753" s="29"/>
      <c r="J753" s="29"/>
      <c r="L753" s="29"/>
    </row>
    <row r="754" ht="15.75" customHeight="1">
      <c r="C754" s="29"/>
      <c r="D754" s="30"/>
      <c r="F754" s="30"/>
      <c r="I754" s="29"/>
      <c r="J754" s="29"/>
      <c r="L754" s="29"/>
    </row>
    <row r="755" ht="15.75" customHeight="1">
      <c r="C755" s="29"/>
      <c r="D755" s="30"/>
      <c r="F755" s="30"/>
      <c r="I755" s="29"/>
      <c r="J755" s="29"/>
      <c r="L755" s="29"/>
    </row>
    <row r="756" ht="15.75" customHeight="1">
      <c r="C756" s="29"/>
      <c r="D756" s="30"/>
      <c r="F756" s="30"/>
      <c r="I756" s="29"/>
      <c r="J756" s="29"/>
      <c r="L756" s="29"/>
    </row>
    <row r="757" ht="15.75" customHeight="1">
      <c r="C757" s="29"/>
      <c r="D757" s="30"/>
      <c r="F757" s="30"/>
      <c r="I757" s="29"/>
      <c r="J757" s="29"/>
      <c r="L757" s="29"/>
    </row>
    <row r="758" ht="15.75" customHeight="1">
      <c r="C758" s="29"/>
      <c r="D758" s="30"/>
      <c r="F758" s="30"/>
      <c r="I758" s="29"/>
      <c r="J758" s="29"/>
      <c r="L758" s="29"/>
    </row>
    <row r="759" ht="15.75" customHeight="1">
      <c r="C759" s="29"/>
      <c r="D759" s="30"/>
      <c r="F759" s="30"/>
      <c r="I759" s="29"/>
      <c r="J759" s="29"/>
      <c r="L759" s="29"/>
    </row>
    <row r="760" ht="15.75" customHeight="1">
      <c r="C760" s="29"/>
      <c r="D760" s="30"/>
      <c r="F760" s="30"/>
      <c r="I760" s="29"/>
      <c r="J760" s="29"/>
      <c r="L760" s="29"/>
    </row>
    <row r="761" ht="15.75" customHeight="1">
      <c r="C761" s="29"/>
      <c r="D761" s="30"/>
      <c r="F761" s="30"/>
      <c r="I761" s="29"/>
      <c r="J761" s="29"/>
      <c r="L761" s="29"/>
    </row>
    <row r="762" ht="15.75" customHeight="1">
      <c r="C762" s="29"/>
      <c r="D762" s="30"/>
      <c r="F762" s="30"/>
      <c r="I762" s="29"/>
      <c r="J762" s="29"/>
      <c r="L762" s="29"/>
    </row>
    <row r="763" ht="15.75" customHeight="1">
      <c r="C763" s="29"/>
      <c r="D763" s="30"/>
      <c r="F763" s="30"/>
      <c r="I763" s="29"/>
      <c r="J763" s="29"/>
      <c r="L763" s="29"/>
    </row>
    <row r="764" ht="15.75" customHeight="1">
      <c r="C764" s="29"/>
      <c r="D764" s="30"/>
      <c r="F764" s="30"/>
      <c r="I764" s="29"/>
      <c r="J764" s="29"/>
      <c r="L764" s="29"/>
    </row>
    <row r="765" ht="15.75" customHeight="1">
      <c r="C765" s="29"/>
      <c r="D765" s="30"/>
      <c r="F765" s="30"/>
      <c r="I765" s="29"/>
      <c r="J765" s="29"/>
      <c r="L765" s="29"/>
    </row>
    <row r="766" ht="15.75" customHeight="1">
      <c r="C766" s="29"/>
      <c r="D766" s="30"/>
      <c r="F766" s="30"/>
      <c r="I766" s="29"/>
      <c r="J766" s="29"/>
      <c r="L766" s="29"/>
    </row>
    <row r="767" ht="15.75" customHeight="1">
      <c r="C767" s="29"/>
      <c r="D767" s="30"/>
      <c r="F767" s="30"/>
      <c r="I767" s="29"/>
      <c r="J767" s="29"/>
      <c r="L767" s="29"/>
    </row>
    <row r="768" ht="15.75" customHeight="1">
      <c r="C768" s="29"/>
      <c r="D768" s="30"/>
      <c r="F768" s="30"/>
      <c r="I768" s="29"/>
      <c r="J768" s="29"/>
      <c r="L768" s="29"/>
    </row>
    <row r="769" ht="15.75" customHeight="1">
      <c r="C769" s="29"/>
      <c r="D769" s="30"/>
      <c r="F769" s="30"/>
      <c r="I769" s="29"/>
      <c r="J769" s="29"/>
      <c r="L769" s="29"/>
    </row>
    <row r="770" ht="15.75" customHeight="1">
      <c r="C770" s="29"/>
      <c r="D770" s="30"/>
      <c r="F770" s="30"/>
      <c r="I770" s="29"/>
      <c r="J770" s="29"/>
      <c r="L770" s="29"/>
    </row>
    <row r="771" ht="15.75" customHeight="1">
      <c r="C771" s="29"/>
      <c r="D771" s="30"/>
      <c r="F771" s="30"/>
      <c r="I771" s="29"/>
      <c r="J771" s="29"/>
      <c r="L771" s="29"/>
    </row>
    <row r="772" ht="15.75" customHeight="1">
      <c r="C772" s="29"/>
      <c r="D772" s="30"/>
      <c r="F772" s="30"/>
      <c r="I772" s="29"/>
      <c r="J772" s="29"/>
      <c r="L772" s="29"/>
    </row>
    <row r="773" ht="15.75" customHeight="1">
      <c r="C773" s="29"/>
      <c r="D773" s="30"/>
      <c r="F773" s="30"/>
      <c r="I773" s="29"/>
      <c r="J773" s="29"/>
      <c r="L773" s="29"/>
    </row>
    <row r="774" ht="15.75" customHeight="1">
      <c r="C774" s="29"/>
      <c r="D774" s="30"/>
      <c r="F774" s="30"/>
      <c r="I774" s="29"/>
      <c r="J774" s="29"/>
      <c r="L774" s="29"/>
    </row>
    <row r="775" ht="15.75" customHeight="1">
      <c r="C775" s="29"/>
      <c r="D775" s="30"/>
      <c r="F775" s="30"/>
      <c r="I775" s="29"/>
      <c r="J775" s="29"/>
      <c r="L775" s="29"/>
    </row>
    <row r="776" ht="15.75" customHeight="1">
      <c r="C776" s="29"/>
      <c r="D776" s="30"/>
      <c r="F776" s="30"/>
      <c r="I776" s="29"/>
      <c r="J776" s="29"/>
      <c r="L776" s="29"/>
    </row>
    <row r="777" ht="15.75" customHeight="1">
      <c r="C777" s="29"/>
      <c r="D777" s="30"/>
      <c r="F777" s="30"/>
      <c r="I777" s="29"/>
      <c r="J777" s="29"/>
      <c r="L777" s="29"/>
    </row>
    <row r="778" ht="15.75" customHeight="1">
      <c r="C778" s="29"/>
      <c r="D778" s="30"/>
      <c r="F778" s="30"/>
      <c r="I778" s="29"/>
      <c r="J778" s="29"/>
      <c r="L778" s="29"/>
    </row>
    <row r="779" ht="15.75" customHeight="1">
      <c r="C779" s="29"/>
      <c r="D779" s="30"/>
      <c r="F779" s="30"/>
      <c r="I779" s="29"/>
      <c r="J779" s="29"/>
      <c r="L779" s="29"/>
    </row>
    <row r="780" ht="15.75" customHeight="1">
      <c r="C780" s="29"/>
      <c r="D780" s="30"/>
      <c r="F780" s="30"/>
      <c r="I780" s="29"/>
      <c r="J780" s="29"/>
      <c r="L780" s="29"/>
    </row>
    <row r="781" ht="15.75" customHeight="1">
      <c r="C781" s="29"/>
      <c r="D781" s="30"/>
      <c r="F781" s="30"/>
      <c r="I781" s="29"/>
      <c r="J781" s="29"/>
      <c r="L781" s="29"/>
    </row>
    <row r="782" ht="15.75" customHeight="1">
      <c r="C782" s="29"/>
      <c r="D782" s="30"/>
      <c r="F782" s="30"/>
      <c r="I782" s="29"/>
      <c r="J782" s="29"/>
      <c r="L782" s="29"/>
    </row>
    <row r="783" ht="15.75" customHeight="1">
      <c r="C783" s="29"/>
      <c r="D783" s="30"/>
      <c r="F783" s="30"/>
      <c r="I783" s="29"/>
      <c r="J783" s="29"/>
      <c r="L783" s="29"/>
    </row>
    <row r="784" ht="15.75" customHeight="1">
      <c r="C784" s="29"/>
      <c r="D784" s="30"/>
      <c r="F784" s="30"/>
      <c r="I784" s="29"/>
      <c r="J784" s="29"/>
      <c r="L784" s="29"/>
    </row>
    <row r="785" ht="15.75" customHeight="1">
      <c r="C785" s="29"/>
      <c r="D785" s="30"/>
      <c r="F785" s="30"/>
      <c r="I785" s="29"/>
      <c r="J785" s="29"/>
      <c r="L785" s="29"/>
    </row>
    <row r="786" ht="15.75" customHeight="1">
      <c r="C786" s="29"/>
      <c r="D786" s="30"/>
      <c r="F786" s="30"/>
      <c r="I786" s="29"/>
      <c r="J786" s="29"/>
      <c r="L786" s="29"/>
    </row>
    <row r="787" ht="15.75" customHeight="1">
      <c r="C787" s="29"/>
      <c r="D787" s="30"/>
      <c r="F787" s="30"/>
      <c r="I787" s="29"/>
      <c r="J787" s="29"/>
      <c r="L787" s="29"/>
    </row>
    <row r="788" ht="15.75" customHeight="1">
      <c r="C788" s="29"/>
      <c r="D788" s="30"/>
      <c r="F788" s="30"/>
      <c r="I788" s="29"/>
      <c r="J788" s="29"/>
      <c r="L788" s="29"/>
    </row>
    <row r="789" ht="15.75" customHeight="1">
      <c r="C789" s="29"/>
      <c r="D789" s="30"/>
      <c r="F789" s="30"/>
      <c r="I789" s="29"/>
      <c r="J789" s="29"/>
      <c r="L789" s="29"/>
    </row>
    <row r="790" ht="15.75" customHeight="1">
      <c r="C790" s="29"/>
      <c r="D790" s="30"/>
      <c r="F790" s="30"/>
      <c r="I790" s="29"/>
      <c r="J790" s="29"/>
      <c r="L790" s="29"/>
    </row>
    <row r="791" ht="15.75" customHeight="1">
      <c r="C791" s="29"/>
      <c r="D791" s="30"/>
      <c r="F791" s="30"/>
      <c r="I791" s="29"/>
      <c r="J791" s="29"/>
      <c r="L791" s="29"/>
    </row>
    <row r="792" ht="15.75" customHeight="1">
      <c r="C792" s="29"/>
      <c r="D792" s="30"/>
      <c r="F792" s="30"/>
      <c r="I792" s="29"/>
      <c r="J792" s="29"/>
      <c r="L792" s="29"/>
    </row>
    <row r="793" ht="15.75" customHeight="1">
      <c r="C793" s="29"/>
      <c r="D793" s="30"/>
      <c r="F793" s="30"/>
      <c r="I793" s="29"/>
      <c r="J793" s="29"/>
      <c r="L793" s="29"/>
    </row>
    <row r="794" ht="15.75" customHeight="1">
      <c r="C794" s="29"/>
      <c r="D794" s="30"/>
      <c r="F794" s="30"/>
      <c r="I794" s="29"/>
      <c r="J794" s="29"/>
      <c r="L794" s="29"/>
    </row>
    <row r="795" ht="15.75" customHeight="1">
      <c r="C795" s="29"/>
      <c r="D795" s="30"/>
      <c r="F795" s="30"/>
      <c r="I795" s="29"/>
      <c r="J795" s="29"/>
      <c r="L795" s="29"/>
    </row>
    <row r="796" ht="15.75" customHeight="1">
      <c r="C796" s="29"/>
      <c r="D796" s="30"/>
      <c r="F796" s="30"/>
      <c r="I796" s="29"/>
      <c r="J796" s="29"/>
      <c r="L796" s="29"/>
    </row>
    <row r="797" ht="15.75" customHeight="1">
      <c r="C797" s="29"/>
      <c r="D797" s="30"/>
      <c r="F797" s="30"/>
      <c r="I797" s="29"/>
      <c r="J797" s="29"/>
      <c r="L797" s="29"/>
    </row>
    <row r="798" ht="15.75" customHeight="1">
      <c r="C798" s="29"/>
      <c r="D798" s="30"/>
      <c r="F798" s="30"/>
      <c r="I798" s="29"/>
      <c r="J798" s="29"/>
      <c r="L798" s="29"/>
    </row>
    <row r="799" ht="15.75" customHeight="1">
      <c r="C799" s="29"/>
      <c r="D799" s="30"/>
      <c r="F799" s="30"/>
      <c r="I799" s="29"/>
      <c r="J799" s="29"/>
      <c r="L799" s="29"/>
    </row>
    <row r="800" ht="15.75" customHeight="1">
      <c r="C800" s="29"/>
      <c r="D800" s="30"/>
      <c r="F800" s="30"/>
      <c r="I800" s="29"/>
      <c r="J800" s="29"/>
      <c r="L800" s="29"/>
    </row>
    <row r="801" ht="15.75" customHeight="1">
      <c r="C801" s="29"/>
      <c r="D801" s="30"/>
      <c r="F801" s="30"/>
      <c r="I801" s="29"/>
      <c r="J801" s="29"/>
      <c r="L801" s="29"/>
    </row>
    <row r="802" ht="15.75" customHeight="1">
      <c r="C802" s="29"/>
      <c r="D802" s="30"/>
      <c r="F802" s="30"/>
      <c r="I802" s="29"/>
      <c r="J802" s="29"/>
      <c r="L802" s="29"/>
    </row>
    <row r="803" ht="15.75" customHeight="1">
      <c r="C803" s="29"/>
      <c r="D803" s="30"/>
      <c r="F803" s="30"/>
      <c r="I803" s="29"/>
      <c r="J803" s="29"/>
      <c r="L803" s="29"/>
    </row>
    <row r="804" ht="15.75" customHeight="1">
      <c r="C804" s="29"/>
      <c r="D804" s="30"/>
      <c r="F804" s="30"/>
      <c r="I804" s="29"/>
      <c r="J804" s="29"/>
      <c r="L804" s="29"/>
    </row>
    <row r="805" ht="15.75" customHeight="1">
      <c r="C805" s="29"/>
      <c r="D805" s="30"/>
      <c r="F805" s="30"/>
      <c r="I805" s="29"/>
      <c r="J805" s="29"/>
      <c r="L805" s="29"/>
    </row>
    <row r="806" ht="15.75" customHeight="1">
      <c r="C806" s="29"/>
      <c r="D806" s="30"/>
      <c r="F806" s="30"/>
      <c r="I806" s="29"/>
      <c r="J806" s="29"/>
      <c r="L806" s="29"/>
    </row>
    <row r="807" ht="15.75" customHeight="1">
      <c r="C807" s="29"/>
      <c r="D807" s="30"/>
      <c r="F807" s="30"/>
      <c r="I807" s="29"/>
      <c r="J807" s="29"/>
      <c r="L807" s="29"/>
    </row>
    <row r="808" ht="15.75" customHeight="1">
      <c r="C808" s="29"/>
      <c r="D808" s="30"/>
      <c r="F808" s="30"/>
      <c r="I808" s="29"/>
      <c r="J808" s="29"/>
      <c r="L808" s="29"/>
    </row>
    <row r="809" ht="15.75" customHeight="1">
      <c r="C809" s="29"/>
      <c r="D809" s="30"/>
      <c r="F809" s="30"/>
      <c r="I809" s="29"/>
      <c r="J809" s="29"/>
      <c r="L809" s="29"/>
    </row>
    <row r="810" ht="15.75" customHeight="1">
      <c r="C810" s="29"/>
      <c r="D810" s="30"/>
      <c r="F810" s="30"/>
      <c r="I810" s="29"/>
      <c r="J810" s="29"/>
      <c r="L810" s="29"/>
    </row>
    <row r="811" ht="15.75" customHeight="1">
      <c r="C811" s="29"/>
      <c r="D811" s="30"/>
      <c r="F811" s="30"/>
      <c r="I811" s="29"/>
      <c r="J811" s="29"/>
      <c r="L811" s="29"/>
    </row>
    <row r="812" ht="15.75" customHeight="1">
      <c r="C812" s="29"/>
      <c r="D812" s="30"/>
      <c r="F812" s="30"/>
      <c r="I812" s="29"/>
      <c r="J812" s="29"/>
      <c r="L812" s="29"/>
    </row>
    <row r="813" ht="15.75" customHeight="1">
      <c r="C813" s="29"/>
      <c r="D813" s="30"/>
      <c r="F813" s="30"/>
      <c r="I813" s="29"/>
      <c r="J813" s="29"/>
      <c r="L813" s="29"/>
    </row>
    <row r="814" ht="15.75" customHeight="1">
      <c r="C814" s="29"/>
      <c r="D814" s="30"/>
      <c r="F814" s="30"/>
      <c r="I814" s="29"/>
      <c r="J814" s="29"/>
      <c r="L814" s="29"/>
    </row>
    <row r="815" ht="15.75" customHeight="1">
      <c r="C815" s="29"/>
      <c r="D815" s="30"/>
      <c r="F815" s="30"/>
      <c r="I815" s="29"/>
      <c r="J815" s="29"/>
      <c r="L815" s="29"/>
    </row>
    <row r="816" ht="15.75" customHeight="1">
      <c r="C816" s="29"/>
      <c r="D816" s="30"/>
      <c r="F816" s="30"/>
      <c r="I816" s="29"/>
      <c r="J816" s="29"/>
      <c r="L816" s="29"/>
    </row>
    <row r="817" ht="15.75" customHeight="1">
      <c r="C817" s="29"/>
      <c r="D817" s="30"/>
      <c r="F817" s="30"/>
      <c r="I817" s="29"/>
      <c r="J817" s="29"/>
      <c r="L817" s="29"/>
    </row>
    <row r="818" ht="15.75" customHeight="1">
      <c r="C818" s="29"/>
      <c r="D818" s="30"/>
      <c r="F818" s="30"/>
      <c r="I818" s="29"/>
      <c r="J818" s="29"/>
      <c r="L818" s="29"/>
    </row>
    <row r="819" ht="15.75" customHeight="1">
      <c r="C819" s="29"/>
      <c r="D819" s="30"/>
      <c r="F819" s="30"/>
      <c r="I819" s="29"/>
      <c r="J819" s="29"/>
      <c r="L819" s="29"/>
    </row>
    <row r="820" ht="15.75" customHeight="1">
      <c r="C820" s="29"/>
      <c r="D820" s="30"/>
      <c r="F820" s="30"/>
      <c r="I820" s="29"/>
      <c r="J820" s="29"/>
      <c r="L820" s="29"/>
    </row>
    <row r="821" ht="15.75" customHeight="1">
      <c r="C821" s="29"/>
      <c r="D821" s="30"/>
      <c r="F821" s="30"/>
      <c r="I821" s="29"/>
      <c r="J821" s="29"/>
      <c r="L821" s="29"/>
    </row>
    <row r="822" ht="15.75" customHeight="1">
      <c r="C822" s="29"/>
      <c r="D822" s="30"/>
      <c r="F822" s="30"/>
      <c r="I822" s="29"/>
      <c r="J822" s="29"/>
      <c r="L822" s="29"/>
    </row>
    <row r="823" ht="15.75" customHeight="1">
      <c r="C823" s="29"/>
      <c r="D823" s="30"/>
      <c r="F823" s="30"/>
      <c r="I823" s="29"/>
      <c r="J823" s="29"/>
      <c r="L823" s="29"/>
    </row>
    <row r="824" ht="15.75" customHeight="1">
      <c r="C824" s="29"/>
      <c r="D824" s="30"/>
      <c r="F824" s="30"/>
      <c r="I824" s="29"/>
      <c r="J824" s="29"/>
      <c r="L824" s="29"/>
    </row>
    <row r="825" ht="15.75" customHeight="1">
      <c r="C825" s="29"/>
      <c r="D825" s="30"/>
      <c r="F825" s="30"/>
      <c r="I825" s="29"/>
      <c r="J825" s="29"/>
      <c r="L825" s="29"/>
    </row>
    <row r="826" ht="15.75" customHeight="1">
      <c r="C826" s="29"/>
      <c r="D826" s="30"/>
      <c r="F826" s="30"/>
      <c r="I826" s="29"/>
      <c r="J826" s="29"/>
      <c r="L826" s="29"/>
    </row>
    <row r="827" ht="15.75" customHeight="1">
      <c r="C827" s="29"/>
      <c r="D827" s="30"/>
      <c r="F827" s="30"/>
      <c r="I827" s="29"/>
      <c r="J827" s="29"/>
      <c r="L827" s="29"/>
    </row>
    <row r="828" ht="15.75" customHeight="1">
      <c r="C828" s="29"/>
      <c r="D828" s="30"/>
      <c r="F828" s="30"/>
      <c r="I828" s="29"/>
      <c r="J828" s="29"/>
      <c r="L828" s="29"/>
    </row>
    <row r="829" ht="15.75" customHeight="1">
      <c r="C829" s="29"/>
      <c r="D829" s="30"/>
      <c r="F829" s="30"/>
      <c r="I829" s="29"/>
      <c r="J829" s="29"/>
      <c r="L829" s="29"/>
    </row>
    <row r="830" ht="15.75" customHeight="1">
      <c r="C830" s="29"/>
      <c r="D830" s="30"/>
      <c r="F830" s="30"/>
      <c r="I830" s="29"/>
      <c r="J830" s="29"/>
      <c r="L830" s="29"/>
    </row>
    <row r="831" ht="15.75" customHeight="1">
      <c r="C831" s="29"/>
      <c r="D831" s="30"/>
      <c r="F831" s="30"/>
      <c r="I831" s="29"/>
      <c r="J831" s="29"/>
      <c r="L831" s="29"/>
    </row>
    <row r="832" ht="15.75" customHeight="1">
      <c r="C832" s="29"/>
      <c r="D832" s="30"/>
      <c r="F832" s="30"/>
      <c r="I832" s="29"/>
      <c r="J832" s="29"/>
      <c r="L832" s="29"/>
    </row>
    <row r="833" ht="15.75" customHeight="1">
      <c r="C833" s="29"/>
      <c r="D833" s="30"/>
      <c r="F833" s="30"/>
      <c r="I833" s="29"/>
      <c r="J833" s="29"/>
      <c r="L833" s="29"/>
    </row>
    <row r="834" ht="15.75" customHeight="1">
      <c r="C834" s="29"/>
      <c r="D834" s="30"/>
      <c r="F834" s="30"/>
      <c r="I834" s="29"/>
      <c r="J834" s="29"/>
      <c r="L834" s="29"/>
    </row>
    <row r="835" ht="15.75" customHeight="1">
      <c r="C835" s="29"/>
      <c r="D835" s="30"/>
      <c r="F835" s="30"/>
      <c r="I835" s="29"/>
      <c r="J835" s="29"/>
      <c r="L835" s="29"/>
    </row>
    <row r="836" ht="15.75" customHeight="1">
      <c r="C836" s="29"/>
      <c r="D836" s="30"/>
      <c r="F836" s="30"/>
      <c r="I836" s="29"/>
      <c r="J836" s="29"/>
      <c r="L836" s="29"/>
    </row>
    <row r="837" ht="15.75" customHeight="1">
      <c r="C837" s="29"/>
      <c r="D837" s="30"/>
      <c r="F837" s="30"/>
      <c r="I837" s="29"/>
      <c r="J837" s="29"/>
      <c r="L837" s="29"/>
    </row>
    <row r="838" ht="15.75" customHeight="1">
      <c r="C838" s="29"/>
      <c r="D838" s="30"/>
      <c r="F838" s="30"/>
      <c r="I838" s="29"/>
      <c r="J838" s="29"/>
      <c r="L838" s="29"/>
    </row>
    <row r="839" ht="15.75" customHeight="1">
      <c r="C839" s="29"/>
      <c r="D839" s="30"/>
      <c r="F839" s="30"/>
      <c r="I839" s="29"/>
      <c r="J839" s="29"/>
      <c r="L839" s="29"/>
    </row>
    <row r="840" ht="15.75" customHeight="1">
      <c r="C840" s="29"/>
      <c r="D840" s="30"/>
      <c r="F840" s="30"/>
      <c r="I840" s="29"/>
      <c r="J840" s="29"/>
      <c r="L840" s="29"/>
    </row>
    <row r="841" ht="15.75" customHeight="1">
      <c r="C841" s="29"/>
      <c r="D841" s="30"/>
      <c r="F841" s="30"/>
      <c r="I841" s="29"/>
      <c r="J841" s="29"/>
      <c r="L841" s="29"/>
    </row>
    <row r="842" ht="15.75" customHeight="1">
      <c r="C842" s="29"/>
      <c r="D842" s="30"/>
      <c r="F842" s="30"/>
      <c r="I842" s="29"/>
      <c r="J842" s="29"/>
      <c r="L842" s="29"/>
    </row>
    <row r="843" ht="15.75" customHeight="1">
      <c r="C843" s="29"/>
      <c r="D843" s="30"/>
      <c r="F843" s="30"/>
      <c r="I843" s="29"/>
      <c r="J843" s="29"/>
      <c r="L843" s="29"/>
    </row>
    <row r="844" ht="15.75" customHeight="1">
      <c r="C844" s="29"/>
      <c r="D844" s="30"/>
      <c r="F844" s="30"/>
      <c r="I844" s="29"/>
      <c r="J844" s="29"/>
      <c r="L844" s="29"/>
    </row>
    <row r="845" ht="15.75" customHeight="1">
      <c r="C845" s="29"/>
      <c r="D845" s="30"/>
      <c r="F845" s="30"/>
      <c r="I845" s="29"/>
      <c r="J845" s="29"/>
      <c r="L845" s="29"/>
    </row>
    <row r="846" ht="15.75" customHeight="1">
      <c r="C846" s="29"/>
      <c r="D846" s="30"/>
      <c r="F846" s="30"/>
      <c r="I846" s="29"/>
      <c r="J846" s="29"/>
      <c r="L846" s="29"/>
    </row>
    <row r="847" ht="15.75" customHeight="1">
      <c r="C847" s="29"/>
      <c r="D847" s="30"/>
      <c r="F847" s="30"/>
      <c r="I847" s="29"/>
      <c r="J847" s="29"/>
      <c r="L847" s="29"/>
    </row>
    <row r="848" ht="15.75" customHeight="1">
      <c r="C848" s="29"/>
      <c r="D848" s="30"/>
      <c r="F848" s="30"/>
      <c r="I848" s="29"/>
      <c r="J848" s="29"/>
      <c r="L848" s="29"/>
    </row>
    <row r="849" ht="15.75" customHeight="1">
      <c r="C849" s="29"/>
      <c r="D849" s="30"/>
      <c r="F849" s="30"/>
      <c r="I849" s="29"/>
      <c r="J849" s="29"/>
      <c r="L849" s="29"/>
    </row>
    <row r="850" ht="15.75" customHeight="1">
      <c r="C850" s="29"/>
      <c r="D850" s="30"/>
      <c r="F850" s="30"/>
      <c r="I850" s="29"/>
      <c r="J850" s="29"/>
      <c r="L850" s="29"/>
    </row>
    <row r="851" ht="15.75" customHeight="1">
      <c r="C851" s="29"/>
      <c r="D851" s="30"/>
      <c r="F851" s="30"/>
      <c r="I851" s="29"/>
      <c r="J851" s="29"/>
      <c r="L851" s="29"/>
    </row>
    <row r="852" ht="15.75" customHeight="1">
      <c r="C852" s="29"/>
      <c r="D852" s="30"/>
      <c r="F852" s="30"/>
      <c r="I852" s="29"/>
      <c r="J852" s="29"/>
      <c r="L852" s="29"/>
    </row>
    <row r="853" ht="15.75" customHeight="1">
      <c r="C853" s="29"/>
      <c r="D853" s="30"/>
      <c r="F853" s="30"/>
      <c r="I853" s="29"/>
      <c r="J853" s="29"/>
      <c r="L853" s="29"/>
    </row>
    <row r="854" ht="15.75" customHeight="1">
      <c r="C854" s="29"/>
      <c r="D854" s="30"/>
      <c r="F854" s="30"/>
      <c r="I854" s="29"/>
      <c r="J854" s="29"/>
      <c r="L854" s="29"/>
    </row>
    <row r="855" ht="15.75" customHeight="1">
      <c r="C855" s="29"/>
      <c r="D855" s="30"/>
      <c r="F855" s="30"/>
      <c r="I855" s="29"/>
      <c r="J855" s="29"/>
      <c r="L855" s="29"/>
    </row>
    <row r="856" ht="15.75" customHeight="1">
      <c r="C856" s="29"/>
      <c r="D856" s="30"/>
      <c r="F856" s="30"/>
      <c r="I856" s="29"/>
      <c r="J856" s="29"/>
      <c r="L856" s="29"/>
    </row>
    <row r="857" ht="15.75" customHeight="1">
      <c r="C857" s="29"/>
      <c r="D857" s="30"/>
      <c r="F857" s="30"/>
      <c r="I857" s="29"/>
      <c r="J857" s="29"/>
      <c r="L857" s="29"/>
    </row>
    <row r="858" ht="15.75" customHeight="1">
      <c r="C858" s="29"/>
      <c r="D858" s="30"/>
      <c r="F858" s="30"/>
      <c r="I858" s="29"/>
      <c r="J858" s="29"/>
      <c r="L858" s="29"/>
    </row>
    <row r="859" ht="15.75" customHeight="1">
      <c r="C859" s="29"/>
      <c r="D859" s="30"/>
      <c r="F859" s="30"/>
      <c r="I859" s="29"/>
      <c r="J859" s="29"/>
      <c r="L859" s="29"/>
    </row>
    <row r="860" ht="15.75" customHeight="1">
      <c r="C860" s="29"/>
      <c r="D860" s="30"/>
      <c r="F860" s="30"/>
      <c r="I860" s="29"/>
      <c r="J860" s="29"/>
      <c r="L860" s="29"/>
    </row>
    <row r="861" ht="15.75" customHeight="1">
      <c r="C861" s="29"/>
      <c r="D861" s="30"/>
      <c r="F861" s="30"/>
      <c r="I861" s="29"/>
      <c r="J861" s="29"/>
      <c r="L861" s="29"/>
    </row>
    <row r="862" ht="15.75" customHeight="1">
      <c r="C862" s="29"/>
      <c r="D862" s="30"/>
      <c r="F862" s="30"/>
      <c r="I862" s="29"/>
      <c r="J862" s="29"/>
      <c r="L862" s="29"/>
    </row>
    <row r="863" ht="15.75" customHeight="1">
      <c r="C863" s="29"/>
      <c r="D863" s="30"/>
      <c r="F863" s="30"/>
      <c r="I863" s="29"/>
      <c r="J863" s="29"/>
      <c r="L863" s="29"/>
    </row>
    <row r="864" ht="15.75" customHeight="1">
      <c r="C864" s="29"/>
      <c r="D864" s="30"/>
      <c r="F864" s="30"/>
      <c r="I864" s="29"/>
      <c r="J864" s="29"/>
      <c r="L864" s="29"/>
    </row>
    <row r="865" ht="15.75" customHeight="1">
      <c r="C865" s="29"/>
      <c r="D865" s="30"/>
      <c r="F865" s="30"/>
      <c r="I865" s="29"/>
      <c r="J865" s="29"/>
      <c r="L865" s="29"/>
    </row>
    <row r="866" ht="15.75" customHeight="1">
      <c r="C866" s="29"/>
      <c r="D866" s="30"/>
      <c r="F866" s="30"/>
      <c r="I866" s="29"/>
      <c r="J866" s="29"/>
      <c r="L866" s="29"/>
    </row>
    <row r="867" ht="15.75" customHeight="1">
      <c r="C867" s="29"/>
      <c r="D867" s="30"/>
      <c r="F867" s="30"/>
      <c r="I867" s="29"/>
      <c r="J867" s="29"/>
      <c r="L867" s="29"/>
    </row>
    <row r="868" ht="15.75" customHeight="1">
      <c r="C868" s="29"/>
      <c r="D868" s="30"/>
      <c r="F868" s="30"/>
      <c r="I868" s="29"/>
      <c r="J868" s="29"/>
      <c r="L868" s="29"/>
    </row>
    <row r="869" ht="15.75" customHeight="1">
      <c r="C869" s="29"/>
      <c r="D869" s="30"/>
      <c r="F869" s="30"/>
      <c r="I869" s="29"/>
      <c r="J869" s="29"/>
      <c r="L869" s="29"/>
    </row>
    <row r="870" ht="15.75" customHeight="1">
      <c r="C870" s="29"/>
      <c r="D870" s="30"/>
      <c r="F870" s="30"/>
      <c r="I870" s="29"/>
      <c r="J870" s="29"/>
      <c r="L870" s="29"/>
    </row>
    <row r="871" ht="15.75" customHeight="1">
      <c r="C871" s="29"/>
      <c r="D871" s="30"/>
      <c r="F871" s="30"/>
      <c r="I871" s="29"/>
      <c r="J871" s="29"/>
      <c r="L871" s="29"/>
    </row>
    <row r="872" ht="15.75" customHeight="1">
      <c r="C872" s="29"/>
      <c r="D872" s="30"/>
      <c r="F872" s="30"/>
      <c r="I872" s="29"/>
      <c r="J872" s="29"/>
      <c r="L872" s="29"/>
    </row>
    <row r="873" ht="15.75" customHeight="1">
      <c r="C873" s="29"/>
      <c r="D873" s="30"/>
      <c r="F873" s="30"/>
      <c r="I873" s="29"/>
      <c r="J873" s="29"/>
      <c r="L873" s="29"/>
    </row>
    <row r="874" ht="15.75" customHeight="1">
      <c r="C874" s="29"/>
      <c r="D874" s="30"/>
      <c r="F874" s="30"/>
      <c r="I874" s="29"/>
      <c r="J874" s="29"/>
      <c r="L874" s="29"/>
    </row>
    <row r="875" ht="15.75" customHeight="1">
      <c r="C875" s="29"/>
      <c r="D875" s="30"/>
      <c r="F875" s="30"/>
      <c r="I875" s="29"/>
      <c r="J875" s="29"/>
      <c r="L875" s="29"/>
    </row>
    <row r="876" ht="15.75" customHeight="1">
      <c r="C876" s="29"/>
      <c r="D876" s="30"/>
      <c r="F876" s="30"/>
      <c r="I876" s="29"/>
      <c r="J876" s="29"/>
      <c r="L876" s="29"/>
    </row>
    <row r="877" ht="15.75" customHeight="1">
      <c r="C877" s="29"/>
      <c r="D877" s="30"/>
      <c r="F877" s="30"/>
      <c r="I877" s="29"/>
      <c r="J877" s="29"/>
      <c r="L877" s="29"/>
    </row>
    <row r="878" ht="15.75" customHeight="1">
      <c r="C878" s="29"/>
      <c r="D878" s="30"/>
      <c r="F878" s="30"/>
      <c r="I878" s="29"/>
      <c r="J878" s="29"/>
      <c r="L878" s="29"/>
    </row>
    <row r="879" ht="15.75" customHeight="1">
      <c r="C879" s="29"/>
      <c r="D879" s="30"/>
      <c r="F879" s="30"/>
      <c r="I879" s="29"/>
      <c r="J879" s="29"/>
      <c r="L879" s="29"/>
    </row>
    <row r="880" ht="15.75" customHeight="1">
      <c r="C880" s="29"/>
      <c r="D880" s="30"/>
      <c r="F880" s="30"/>
      <c r="I880" s="29"/>
      <c r="J880" s="29"/>
      <c r="L880" s="29"/>
    </row>
    <row r="881" ht="15.75" customHeight="1">
      <c r="C881" s="29"/>
      <c r="D881" s="30"/>
      <c r="F881" s="30"/>
      <c r="I881" s="29"/>
      <c r="J881" s="29"/>
      <c r="L881" s="29"/>
    </row>
    <row r="882" ht="15.75" customHeight="1">
      <c r="C882" s="29"/>
      <c r="D882" s="30"/>
      <c r="F882" s="30"/>
      <c r="I882" s="29"/>
      <c r="J882" s="29"/>
      <c r="L882" s="29"/>
    </row>
    <row r="883" ht="15.75" customHeight="1">
      <c r="C883" s="29"/>
      <c r="D883" s="30"/>
      <c r="F883" s="30"/>
      <c r="I883" s="29"/>
      <c r="J883" s="29"/>
      <c r="L883" s="29"/>
    </row>
    <row r="884" ht="15.75" customHeight="1">
      <c r="C884" s="29"/>
      <c r="D884" s="30"/>
      <c r="F884" s="30"/>
      <c r="I884" s="29"/>
      <c r="J884" s="29"/>
      <c r="L884" s="29"/>
    </row>
    <row r="885" ht="15.75" customHeight="1">
      <c r="C885" s="29"/>
      <c r="D885" s="30"/>
      <c r="F885" s="30"/>
      <c r="I885" s="29"/>
      <c r="J885" s="29"/>
      <c r="L885" s="29"/>
    </row>
    <row r="886" ht="15.75" customHeight="1">
      <c r="C886" s="29"/>
      <c r="D886" s="30"/>
      <c r="F886" s="30"/>
      <c r="I886" s="29"/>
      <c r="J886" s="29"/>
      <c r="L886" s="29"/>
    </row>
    <row r="887" ht="15.75" customHeight="1">
      <c r="C887" s="29"/>
      <c r="D887" s="30"/>
      <c r="F887" s="30"/>
      <c r="I887" s="29"/>
      <c r="J887" s="29"/>
      <c r="L887" s="29"/>
    </row>
    <row r="888" ht="15.75" customHeight="1">
      <c r="C888" s="29"/>
      <c r="D888" s="30"/>
      <c r="F888" s="30"/>
      <c r="I888" s="29"/>
      <c r="J888" s="29"/>
      <c r="L888" s="29"/>
    </row>
    <row r="889" ht="15.75" customHeight="1">
      <c r="C889" s="29"/>
      <c r="D889" s="30"/>
      <c r="F889" s="30"/>
      <c r="I889" s="29"/>
      <c r="J889" s="29"/>
      <c r="L889" s="29"/>
    </row>
    <row r="890" ht="15.75" customHeight="1">
      <c r="C890" s="29"/>
      <c r="D890" s="30"/>
      <c r="F890" s="30"/>
      <c r="I890" s="29"/>
      <c r="J890" s="29"/>
      <c r="L890" s="29"/>
    </row>
    <row r="891" ht="15.75" customHeight="1">
      <c r="C891" s="29"/>
      <c r="D891" s="30"/>
      <c r="F891" s="30"/>
      <c r="I891" s="29"/>
      <c r="J891" s="29"/>
      <c r="L891" s="29"/>
    </row>
    <row r="892" ht="15.75" customHeight="1">
      <c r="C892" s="29"/>
      <c r="D892" s="30"/>
      <c r="F892" s="30"/>
      <c r="I892" s="29"/>
      <c r="J892" s="29"/>
      <c r="L892" s="29"/>
    </row>
    <row r="893" ht="15.75" customHeight="1">
      <c r="C893" s="29"/>
      <c r="D893" s="30"/>
      <c r="F893" s="30"/>
      <c r="I893" s="29"/>
      <c r="J893" s="29"/>
      <c r="L893" s="29"/>
    </row>
    <row r="894" ht="15.75" customHeight="1">
      <c r="C894" s="29"/>
      <c r="D894" s="30"/>
      <c r="F894" s="30"/>
      <c r="I894" s="29"/>
      <c r="J894" s="29"/>
      <c r="L894" s="29"/>
    </row>
    <row r="895" ht="15.75" customHeight="1">
      <c r="C895" s="29"/>
      <c r="D895" s="30"/>
      <c r="F895" s="30"/>
      <c r="I895" s="29"/>
      <c r="J895" s="29"/>
      <c r="L895" s="29"/>
    </row>
    <row r="896" ht="15.75" customHeight="1">
      <c r="C896" s="29"/>
      <c r="D896" s="30"/>
      <c r="F896" s="30"/>
      <c r="I896" s="29"/>
      <c r="J896" s="29"/>
      <c r="L896" s="29"/>
    </row>
    <row r="897" ht="15.75" customHeight="1">
      <c r="C897" s="29"/>
      <c r="D897" s="30"/>
      <c r="F897" s="30"/>
      <c r="I897" s="29"/>
      <c r="J897" s="29"/>
      <c r="L897" s="29"/>
    </row>
    <row r="898" ht="15.75" customHeight="1">
      <c r="C898" s="29"/>
      <c r="D898" s="30"/>
      <c r="F898" s="30"/>
      <c r="I898" s="29"/>
      <c r="J898" s="29"/>
      <c r="L898" s="29"/>
    </row>
    <row r="899" ht="15.75" customHeight="1">
      <c r="C899" s="29"/>
      <c r="D899" s="30"/>
      <c r="F899" s="30"/>
      <c r="I899" s="29"/>
      <c r="J899" s="29"/>
      <c r="L899" s="29"/>
    </row>
    <row r="900" ht="15.75" customHeight="1">
      <c r="C900" s="29"/>
      <c r="D900" s="30"/>
      <c r="F900" s="30"/>
      <c r="I900" s="29"/>
      <c r="J900" s="29"/>
      <c r="L900" s="29"/>
    </row>
    <row r="901" ht="15.75" customHeight="1">
      <c r="C901" s="29"/>
      <c r="D901" s="30"/>
      <c r="F901" s="30"/>
      <c r="I901" s="29"/>
      <c r="J901" s="29"/>
      <c r="L901" s="29"/>
    </row>
    <row r="902" ht="15.75" customHeight="1">
      <c r="C902" s="29"/>
      <c r="D902" s="30"/>
      <c r="F902" s="30"/>
      <c r="I902" s="29"/>
      <c r="J902" s="29"/>
      <c r="L902" s="29"/>
    </row>
    <row r="903" ht="15.75" customHeight="1">
      <c r="C903" s="29"/>
      <c r="D903" s="30"/>
      <c r="F903" s="30"/>
      <c r="I903" s="29"/>
      <c r="J903" s="29"/>
      <c r="L903" s="29"/>
    </row>
    <row r="904" ht="15.75" customHeight="1">
      <c r="C904" s="29"/>
      <c r="D904" s="30"/>
      <c r="F904" s="30"/>
      <c r="I904" s="29"/>
      <c r="J904" s="29"/>
      <c r="L904" s="29"/>
    </row>
    <row r="905" ht="15.75" customHeight="1">
      <c r="C905" s="29"/>
      <c r="D905" s="30"/>
      <c r="F905" s="30"/>
      <c r="I905" s="29"/>
      <c r="J905" s="29"/>
      <c r="L905" s="29"/>
    </row>
    <row r="906" ht="15.75" customHeight="1">
      <c r="C906" s="29"/>
      <c r="D906" s="30"/>
      <c r="F906" s="30"/>
      <c r="I906" s="29"/>
      <c r="J906" s="29"/>
      <c r="L906" s="29"/>
    </row>
    <row r="907" ht="15.75" customHeight="1">
      <c r="C907" s="29"/>
      <c r="D907" s="30"/>
      <c r="F907" s="30"/>
      <c r="I907" s="29"/>
      <c r="J907" s="29"/>
      <c r="L907" s="29"/>
    </row>
    <row r="908" ht="15.75" customHeight="1">
      <c r="C908" s="29"/>
      <c r="D908" s="30"/>
      <c r="F908" s="30"/>
      <c r="I908" s="29"/>
      <c r="J908" s="29"/>
      <c r="L908" s="29"/>
    </row>
    <row r="909" ht="15.75" customHeight="1">
      <c r="C909" s="29"/>
      <c r="D909" s="30"/>
      <c r="F909" s="30"/>
      <c r="I909" s="29"/>
      <c r="J909" s="29"/>
      <c r="L909" s="29"/>
    </row>
    <row r="910" ht="15.75" customHeight="1">
      <c r="C910" s="29"/>
      <c r="D910" s="30"/>
      <c r="F910" s="30"/>
      <c r="I910" s="29"/>
      <c r="J910" s="29"/>
      <c r="L910" s="29"/>
    </row>
    <row r="911" ht="15.75" customHeight="1">
      <c r="C911" s="29"/>
      <c r="D911" s="30"/>
      <c r="F911" s="30"/>
      <c r="I911" s="29"/>
      <c r="J911" s="29"/>
      <c r="L911" s="29"/>
    </row>
    <row r="912" ht="15.75" customHeight="1">
      <c r="C912" s="29"/>
      <c r="D912" s="30"/>
      <c r="F912" s="30"/>
      <c r="I912" s="29"/>
      <c r="J912" s="29"/>
      <c r="L912" s="29"/>
    </row>
    <row r="913" ht="15.75" customHeight="1">
      <c r="C913" s="29"/>
      <c r="D913" s="30"/>
      <c r="F913" s="30"/>
      <c r="I913" s="29"/>
      <c r="J913" s="29"/>
      <c r="L913" s="29"/>
    </row>
    <row r="914" ht="15.75" customHeight="1">
      <c r="C914" s="29"/>
      <c r="D914" s="30"/>
      <c r="F914" s="30"/>
      <c r="I914" s="29"/>
      <c r="J914" s="29"/>
      <c r="L914" s="29"/>
    </row>
    <row r="915" ht="15.75" customHeight="1">
      <c r="C915" s="29"/>
      <c r="D915" s="30"/>
      <c r="F915" s="30"/>
      <c r="I915" s="29"/>
      <c r="J915" s="29"/>
      <c r="L915" s="29"/>
    </row>
    <row r="916" ht="15.75" customHeight="1">
      <c r="C916" s="29"/>
      <c r="D916" s="30"/>
      <c r="F916" s="30"/>
      <c r="I916" s="29"/>
      <c r="J916" s="29"/>
      <c r="L916" s="29"/>
    </row>
    <row r="917" ht="15.75" customHeight="1">
      <c r="C917" s="29"/>
      <c r="D917" s="30"/>
      <c r="F917" s="30"/>
      <c r="I917" s="29"/>
      <c r="J917" s="29"/>
      <c r="L917" s="29"/>
    </row>
    <row r="918" ht="15.75" customHeight="1">
      <c r="C918" s="29"/>
      <c r="D918" s="30"/>
      <c r="F918" s="30"/>
      <c r="I918" s="29"/>
      <c r="J918" s="29"/>
      <c r="L918" s="29"/>
    </row>
    <row r="919" ht="15.75" customHeight="1">
      <c r="C919" s="29"/>
      <c r="D919" s="30"/>
      <c r="F919" s="30"/>
      <c r="I919" s="29"/>
      <c r="J919" s="29"/>
      <c r="L919" s="29"/>
    </row>
    <row r="920" ht="15.75" customHeight="1">
      <c r="C920" s="29"/>
      <c r="D920" s="30"/>
      <c r="F920" s="30"/>
      <c r="I920" s="29"/>
      <c r="J920" s="29"/>
      <c r="L920" s="29"/>
    </row>
    <row r="921" ht="15.75" customHeight="1">
      <c r="C921" s="29"/>
      <c r="D921" s="30"/>
      <c r="F921" s="30"/>
      <c r="I921" s="29"/>
      <c r="J921" s="29"/>
      <c r="L921" s="29"/>
    </row>
    <row r="922" ht="15.75" customHeight="1">
      <c r="C922" s="29"/>
      <c r="D922" s="30"/>
      <c r="F922" s="30"/>
      <c r="I922" s="29"/>
      <c r="J922" s="29"/>
      <c r="L922" s="29"/>
    </row>
    <row r="923" ht="15.75" customHeight="1">
      <c r="C923" s="29"/>
      <c r="D923" s="30"/>
      <c r="F923" s="30"/>
      <c r="I923" s="29"/>
      <c r="J923" s="29"/>
      <c r="L923" s="29"/>
    </row>
    <row r="924" ht="15.75" customHeight="1">
      <c r="C924" s="29"/>
      <c r="D924" s="30"/>
      <c r="F924" s="30"/>
      <c r="I924" s="29"/>
      <c r="J924" s="29"/>
      <c r="L924" s="29"/>
    </row>
    <row r="925" ht="15.75" customHeight="1">
      <c r="C925" s="29"/>
      <c r="D925" s="30"/>
      <c r="F925" s="30"/>
      <c r="I925" s="29"/>
      <c r="J925" s="29"/>
      <c r="L925" s="29"/>
    </row>
    <row r="926" ht="15.75" customHeight="1">
      <c r="C926" s="29"/>
      <c r="D926" s="30"/>
      <c r="F926" s="30"/>
      <c r="I926" s="29"/>
      <c r="J926" s="29"/>
      <c r="L926" s="29"/>
    </row>
    <row r="927" ht="15.75" customHeight="1">
      <c r="C927" s="29"/>
      <c r="D927" s="30"/>
      <c r="F927" s="30"/>
      <c r="I927" s="29"/>
      <c r="J927" s="29"/>
      <c r="L927" s="29"/>
    </row>
    <row r="928" ht="15.75" customHeight="1">
      <c r="C928" s="29"/>
      <c r="D928" s="30"/>
      <c r="F928" s="30"/>
      <c r="I928" s="29"/>
      <c r="J928" s="29"/>
      <c r="L928" s="29"/>
    </row>
    <row r="929" ht="15.75" customHeight="1">
      <c r="C929" s="29"/>
      <c r="D929" s="30"/>
      <c r="F929" s="30"/>
      <c r="I929" s="29"/>
      <c r="J929" s="29"/>
      <c r="L929" s="29"/>
    </row>
    <row r="930" ht="15.75" customHeight="1">
      <c r="C930" s="29"/>
      <c r="D930" s="30"/>
      <c r="F930" s="30"/>
      <c r="I930" s="29"/>
      <c r="J930" s="29"/>
      <c r="L930" s="29"/>
    </row>
    <row r="931" ht="15.75" customHeight="1">
      <c r="C931" s="29"/>
      <c r="D931" s="30"/>
      <c r="F931" s="30"/>
      <c r="I931" s="29"/>
      <c r="J931" s="29"/>
      <c r="L931" s="29"/>
    </row>
    <row r="932" ht="15.75" customHeight="1">
      <c r="C932" s="29"/>
      <c r="D932" s="30"/>
      <c r="F932" s="30"/>
      <c r="I932" s="29"/>
      <c r="J932" s="29"/>
      <c r="L932" s="29"/>
    </row>
    <row r="933" ht="15.75" customHeight="1">
      <c r="C933" s="29"/>
      <c r="D933" s="30"/>
      <c r="F933" s="30"/>
      <c r="I933" s="29"/>
      <c r="J933" s="29"/>
      <c r="L933" s="29"/>
    </row>
    <row r="934" ht="15.75" customHeight="1">
      <c r="C934" s="29"/>
      <c r="D934" s="30"/>
      <c r="F934" s="30"/>
      <c r="I934" s="29"/>
      <c r="J934" s="29"/>
      <c r="L934" s="29"/>
    </row>
    <row r="935" ht="15.75" customHeight="1">
      <c r="C935" s="29"/>
      <c r="D935" s="30"/>
      <c r="F935" s="30"/>
      <c r="I935" s="29"/>
      <c r="J935" s="29"/>
      <c r="L935" s="29"/>
    </row>
    <row r="936" ht="15.75" customHeight="1">
      <c r="C936" s="29"/>
      <c r="D936" s="30"/>
      <c r="F936" s="30"/>
      <c r="I936" s="29"/>
      <c r="J936" s="29"/>
      <c r="L936" s="29"/>
    </row>
    <row r="937" ht="15.75" customHeight="1">
      <c r="C937" s="29"/>
      <c r="D937" s="30"/>
      <c r="F937" s="30"/>
      <c r="I937" s="29"/>
      <c r="J937" s="29"/>
      <c r="L937" s="29"/>
    </row>
    <row r="938" ht="15.75" customHeight="1">
      <c r="C938" s="29"/>
      <c r="D938" s="30"/>
      <c r="F938" s="30"/>
      <c r="I938" s="29"/>
      <c r="J938" s="29"/>
      <c r="L938" s="29"/>
    </row>
    <row r="939" ht="15.75" customHeight="1">
      <c r="C939" s="29"/>
      <c r="D939" s="30"/>
      <c r="F939" s="30"/>
      <c r="I939" s="29"/>
      <c r="J939" s="29"/>
      <c r="L939" s="29"/>
    </row>
    <row r="940" ht="15.75" customHeight="1">
      <c r="C940" s="29"/>
      <c r="D940" s="30"/>
      <c r="F940" s="30"/>
      <c r="I940" s="29"/>
      <c r="J940" s="29"/>
      <c r="L940" s="29"/>
    </row>
    <row r="941" ht="15.75" customHeight="1">
      <c r="C941" s="29"/>
      <c r="D941" s="30"/>
      <c r="F941" s="30"/>
      <c r="I941" s="29"/>
      <c r="J941" s="29"/>
      <c r="L941" s="29"/>
    </row>
    <row r="942" ht="15.75" customHeight="1">
      <c r="C942" s="29"/>
      <c r="D942" s="30"/>
      <c r="F942" s="30"/>
      <c r="I942" s="29"/>
      <c r="J942" s="29"/>
      <c r="L942" s="29"/>
    </row>
    <row r="943" ht="15.75" customHeight="1">
      <c r="C943" s="29"/>
      <c r="D943" s="30"/>
      <c r="F943" s="30"/>
      <c r="I943" s="29"/>
      <c r="J943" s="29"/>
      <c r="L943" s="29"/>
    </row>
    <row r="944" ht="15.75" customHeight="1">
      <c r="C944" s="29"/>
      <c r="D944" s="30"/>
      <c r="F944" s="30"/>
      <c r="I944" s="29"/>
      <c r="J944" s="29"/>
      <c r="L944" s="29"/>
    </row>
    <row r="945" ht="15.75" customHeight="1">
      <c r="C945" s="29"/>
      <c r="D945" s="30"/>
      <c r="F945" s="30"/>
      <c r="I945" s="29"/>
      <c r="J945" s="29"/>
      <c r="L945" s="29"/>
    </row>
    <row r="946" ht="15.75" customHeight="1">
      <c r="C946" s="29"/>
      <c r="D946" s="30"/>
      <c r="F946" s="30"/>
      <c r="I946" s="29"/>
      <c r="J946" s="29"/>
      <c r="L946" s="29"/>
    </row>
    <row r="947" ht="15.75" customHeight="1">
      <c r="C947" s="29"/>
      <c r="D947" s="30"/>
      <c r="F947" s="30"/>
      <c r="I947" s="29"/>
      <c r="J947" s="29"/>
      <c r="L947" s="29"/>
    </row>
    <row r="948" ht="15.75" customHeight="1">
      <c r="C948" s="29"/>
      <c r="D948" s="30"/>
      <c r="F948" s="30"/>
      <c r="I948" s="29"/>
      <c r="J948" s="29"/>
      <c r="L948" s="29"/>
    </row>
    <row r="949" ht="15.75" customHeight="1">
      <c r="C949" s="29"/>
      <c r="D949" s="30"/>
      <c r="F949" s="30"/>
      <c r="I949" s="29"/>
      <c r="J949" s="29"/>
      <c r="L949" s="29"/>
    </row>
    <row r="950" ht="15.75" customHeight="1">
      <c r="C950" s="29"/>
      <c r="D950" s="30"/>
      <c r="F950" s="30"/>
      <c r="I950" s="29"/>
      <c r="J950" s="29"/>
      <c r="L950" s="29"/>
    </row>
    <row r="951" ht="15.75" customHeight="1">
      <c r="C951" s="29"/>
      <c r="D951" s="30"/>
      <c r="F951" s="30"/>
      <c r="I951" s="29"/>
      <c r="J951" s="29"/>
      <c r="L951" s="29"/>
    </row>
    <row r="952" ht="15.75" customHeight="1">
      <c r="C952" s="29"/>
      <c r="D952" s="30"/>
      <c r="F952" s="30"/>
      <c r="I952" s="29"/>
      <c r="J952" s="29"/>
      <c r="L952" s="29"/>
    </row>
    <row r="953" ht="15.75" customHeight="1">
      <c r="C953" s="29"/>
      <c r="D953" s="30"/>
      <c r="F953" s="30"/>
      <c r="I953" s="29"/>
      <c r="J953" s="29"/>
      <c r="L953" s="29"/>
    </row>
    <row r="954" ht="15.75" customHeight="1">
      <c r="C954" s="29"/>
      <c r="D954" s="30"/>
      <c r="F954" s="30"/>
      <c r="I954" s="29"/>
      <c r="J954" s="29"/>
      <c r="L954" s="29"/>
    </row>
    <row r="955" ht="15.75" customHeight="1">
      <c r="C955" s="29"/>
      <c r="D955" s="30"/>
      <c r="F955" s="30"/>
      <c r="I955" s="29"/>
      <c r="J955" s="29"/>
      <c r="L955" s="29"/>
    </row>
    <row r="956" ht="15.75" customHeight="1">
      <c r="C956" s="29"/>
      <c r="D956" s="30"/>
      <c r="F956" s="30"/>
      <c r="I956" s="29"/>
      <c r="J956" s="29"/>
      <c r="L956" s="29"/>
    </row>
    <row r="957" ht="15.75" customHeight="1">
      <c r="C957" s="29"/>
      <c r="D957" s="30"/>
      <c r="F957" s="30"/>
      <c r="I957" s="29"/>
      <c r="J957" s="29"/>
      <c r="L957" s="29"/>
    </row>
    <row r="958" ht="15.75" customHeight="1">
      <c r="C958" s="29"/>
      <c r="D958" s="30"/>
      <c r="F958" s="30"/>
      <c r="I958" s="29"/>
      <c r="J958" s="29"/>
      <c r="L958" s="29"/>
    </row>
    <row r="959" ht="15.75" customHeight="1">
      <c r="C959" s="29"/>
      <c r="D959" s="30"/>
      <c r="F959" s="30"/>
      <c r="I959" s="29"/>
      <c r="J959" s="29"/>
      <c r="L959" s="29"/>
    </row>
    <row r="960" ht="15.75" customHeight="1">
      <c r="C960" s="29"/>
      <c r="D960" s="30"/>
      <c r="F960" s="30"/>
      <c r="I960" s="29"/>
      <c r="J960" s="29"/>
      <c r="L960" s="29"/>
    </row>
    <row r="961" ht="15.75" customHeight="1">
      <c r="C961" s="29"/>
      <c r="D961" s="30"/>
      <c r="F961" s="30"/>
      <c r="I961" s="29"/>
      <c r="J961" s="29"/>
      <c r="L961" s="29"/>
    </row>
    <row r="962" ht="15.75" customHeight="1">
      <c r="C962" s="29"/>
      <c r="D962" s="30"/>
      <c r="F962" s="30"/>
      <c r="I962" s="29"/>
      <c r="J962" s="29"/>
      <c r="L962" s="29"/>
    </row>
    <row r="963" ht="15.75" customHeight="1">
      <c r="C963" s="29"/>
      <c r="D963" s="30"/>
      <c r="F963" s="30"/>
      <c r="I963" s="29"/>
      <c r="J963" s="29"/>
      <c r="L963" s="29"/>
    </row>
    <row r="964" ht="15.75" customHeight="1">
      <c r="C964" s="29"/>
      <c r="D964" s="30"/>
      <c r="F964" s="30"/>
      <c r="I964" s="29"/>
      <c r="J964" s="29"/>
      <c r="L964" s="29"/>
    </row>
    <row r="965" ht="15.75" customHeight="1">
      <c r="C965" s="29"/>
      <c r="D965" s="30"/>
      <c r="F965" s="30"/>
      <c r="I965" s="29"/>
      <c r="J965" s="29"/>
      <c r="L965" s="29"/>
    </row>
    <row r="966" ht="15.75" customHeight="1">
      <c r="C966" s="29"/>
      <c r="D966" s="30"/>
      <c r="F966" s="30"/>
      <c r="I966" s="29"/>
      <c r="J966" s="29"/>
      <c r="L966" s="29"/>
    </row>
    <row r="967" ht="15.75" customHeight="1">
      <c r="C967" s="29"/>
      <c r="D967" s="30"/>
      <c r="F967" s="30"/>
      <c r="I967" s="29"/>
      <c r="J967" s="29"/>
      <c r="L967" s="29"/>
    </row>
    <row r="968" ht="15.75" customHeight="1">
      <c r="C968" s="29"/>
      <c r="D968" s="30"/>
      <c r="F968" s="30"/>
      <c r="I968" s="29"/>
      <c r="J968" s="29"/>
      <c r="L968" s="29"/>
    </row>
    <row r="969" ht="15.75" customHeight="1">
      <c r="C969" s="29"/>
      <c r="D969" s="30"/>
      <c r="F969" s="30"/>
      <c r="I969" s="29"/>
      <c r="J969" s="29"/>
      <c r="L969" s="29"/>
    </row>
    <row r="970" ht="15.75" customHeight="1">
      <c r="C970" s="29"/>
      <c r="D970" s="30"/>
      <c r="F970" s="30"/>
      <c r="I970" s="29"/>
      <c r="J970" s="29"/>
      <c r="L970" s="29"/>
    </row>
    <row r="971" ht="15.75" customHeight="1">
      <c r="C971" s="29"/>
      <c r="D971" s="30"/>
      <c r="F971" s="30"/>
      <c r="I971" s="29"/>
      <c r="J971" s="29"/>
      <c r="L971" s="29"/>
    </row>
    <row r="972" ht="15.75" customHeight="1">
      <c r="C972" s="29"/>
      <c r="D972" s="30"/>
      <c r="F972" s="30"/>
      <c r="I972" s="29"/>
      <c r="J972" s="29"/>
      <c r="L972" s="29"/>
    </row>
    <row r="973" ht="15.75" customHeight="1">
      <c r="C973" s="29"/>
      <c r="D973" s="30"/>
      <c r="F973" s="30"/>
      <c r="I973" s="29"/>
      <c r="J973" s="29"/>
      <c r="L973" s="29"/>
    </row>
    <row r="974" ht="15.75" customHeight="1">
      <c r="C974" s="29"/>
      <c r="D974" s="30"/>
      <c r="F974" s="30"/>
      <c r="I974" s="29"/>
      <c r="J974" s="29"/>
      <c r="L974" s="29"/>
    </row>
    <row r="975" ht="15.75" customHeight="1">
      <c r="C975" s="29"/>
      <c r="D975" s="30"/>
      <c r="F975" s="30"/>
      <c r="I975" s="29"/>
      <c r="J975" s="29"/>
      <c r="L975" s="29"/>
    </row>
    <row r="976" ht="15.75" customHeight="1">
      <c r="C976" s="29"/>
      <c r="D976" s="30"/>
      <c r="F976" s="30"/>
      <c r="I976" s="29"/>
      <c r="J976" s="29"/>
      <c r="L976" s="29"/>
    </row>
    <row r="977" ht="15.75" customHeight="1">
      <c r="C977" s="29"/>
      <c r="D977" s="30"/>
      <c r="F977" s="30"/>
      <c r="I977" s="29"/>
      <c r="J977" s="29"/>
      <c r="L977" s="29"/>
    </row>
    <row r="978" ht="15.75" customHeight="1">
      <c r="C978" s="29"/>
      <c r="D978" s="30"/>
      <c r="F978" s="30"/>
      <c r="I978" s="29"/>
      <c r="J978" s="29"/>
      <c r="L978" s="29"/>
    </row>
    <row r="979" ht="15.75" customHeight="1">
      <c r="C979" s="29"/>
      <c r="D979" s="30"/>
      <c r="F979" s="30"/>
      <c r="I979" s="29"/>
      <c r="J979" s="29"/>
      <c r="L979" s="29"/>
    </row>
    <row r="980" ht="15.75" customHeight="1">
      <c r="C980" s="29"/>
      <c r="D980" s="30"/>
      <c r="F980" s="30"/>
      <c r="I980" s="29"/>
      <c r="J980" s="29"/>
      <c r="L980" s="29"/>
    </row>
    <row r="981" ht="15.75" customHeight="1">
      <c r="C981" s="29"/>
      <c r="D981" s="30"/>
      <c r="F981" s="30"/>
      <c r="I981" s="29"/>
      <c r="J981" s="29"/>
      <c r="L981" s="29"/>
    </row>
    <row r="982" ht="15.75" customHeight="1">
      <c r="C982" s="29"/>
      <c r="D982" s="30"/>
      <c r="F982" s="30"/>
      <c r="I982" s="29"/>
      <c r="J982" s="29"/>
      <c r="L982" s="29"/>
    </row>
    <row r="983" ht="15.75" customHeight="1">
      <c r="C983" s="29"/>
      <c r="D983" s="30"/>
      <c r="F983" s="30"/>
      <c r="I983" s="29"/>
      <c r="J983" s="29"/>
      <c r="L983" s="29"/>
    </row>
    <row r="984" ht="15.75" customHeight="1">
      <c r="C984" s="29"/>
      <c r="D984" s="30"/>
      <c r="F984" s="30"/>
      <c r="I984" s="29"/>
      <c r="J984" s="29"/>
      <c r="L984" s="29"/>
    </row>
    <row r="985" ht="15.75" customHeight="1">
      <c r="C985" s="29"/>
      <c r="D985" s="30"/>
      <c r="F985" s="30"/>
      <c r="I985" s="29"/>
      <c r="J985" s="29"/>
      <c r="L985" s="29"/>
    </row>
    <row r="986" ht="15.75" customHeight="1">
      <c r="C986" s="29"/>
      <c r="D986" s="30"/>
      <c r="F986" s="30"/>
      <c r="I986" s="29"/>
      <c r="J986" s="29"/>
      <c r="L986" s="29"/>
    </row>
    <row r="987" ht="15.75" customHeight="1">
      <c r="C987" s="29"/>
      <c r="D987" s="30"/>
      <c r="F987" s="30"/>
      <c r="I987" s="29"/>
      <c r="J987" s="29"/>
      <c r="L987" s="29"/>
    </row>
    <row r="988" ht="15.75" customHeight="1">
      <c r="C988" s="29"/>
      <c r="D988" s="30"/>
      <c r="F988" s="30"/>
      <c r="I988" s="29"/>
      <c r="J988" s="29"/>
      <c r="L988" s="29"/>
    </row>
    <row r="989" ht="15.75" customHeight="1">
      <c r="C989" s="29"/>
      <c r="D989" s="30"/>
      <c r="F989" s="30"/>
      <c r="I989" s="29"/>
      <c r="J989" s="29"/>
      <c r="L989" s="29"/>
    </row>
    <row r="990" ht="15.75" customHeight="1">
      <c r="C990" s="29"/>
      <c r="D990" s="30"/>
      <c r="F990" s="30"/>
      <c r="I990" s="29"/>
      <c r="J990" s="29"/>
      <c r="L990" s="29"/>
    </row>
    <row r="991" ht="15.75" customHeight="1">
      <c r="C991" s="29"/>
      <c r="D991" s="30"/>
      <c r="F991" s="30"/>
      <c r="I991" s="29"/>
      <c r="J991" s="29"/>
      <c r="L991" s="29"/>
    </row>
    <row r="992" ht="15.75" customHeight="1">
      <c r="C992" s="29"/>
      <c r="D992" s="30"/>
      <c r="F992" s="30"/>
      <c r="I992" s="29"/>
      <c r="J992" s="29"/>
      <c r="L992" s="29"/>
    </row>
    <row r="993" ht="15.75" customHeight="1">
      <c r="C993" s="29"/>
      <c r="D993" s="30"/>
      <c r="F993" s="30"/>
      <c r="I993" s="29"/>
      <c r="J993" s="29"/>
      <c r="L993" s="29"/>
    </row>
    <row r="994" ht="15.75" customHeight="1">
      <c r="C994" s="29"/>
      <c r="D994" s="30"/>
      <c r="F994" s="30"/>
      <c r="I994" s="29"/>
      <c r="J994" s="29"/>
      <c r="L994" s="29"/>
    </row>
    <row r="995" ht="15.75" customHeight="1">
      <c r="C995" s="29"/>
      <c r="D995" s="30"/>
      <c r="F995" s="30"/>
      <c r="I995" s="29"/>
      <c r="J995" s="29"/>
      <c r="L995" s="29"/>
    </row>
    <row r="996" ht="15.75" customHeight="1">
      <c r="C996" s="29"/>
      <c r="D996" s="30"/>
      <c r="F996" s="30"/>
      <c r="I996" s="29"/>
      <c r="J996" s="29"/>
      <c r="L996" s="29"/>
    </row>
    <row r="997" ht="15.75" customHeight="1">
      <c r="C997" s="29"/>
      <c r="D997" s="30"/>
      <c r="F997" s="30"/>
      <c r="I997" s="29"/>
      <c r="J997" s="29"/>
      <c r="L997" s="29"/>
    </row>
    <row r="998" ht="15.75" customHeight="1">
      <c r="C998" s="29"/>
      <c r="D998" s="30"/>
      <c r="F998" s="30"/>
      <c r="I998" s="29"/>
      <c r="J998" s="29"/>
      <c r="L998" s="29"/>
    </row>
    <row r="999" ht="15.75" customHeight="1">
      <c r="C999" s="29"/>
      <c r="D999" s="30"/>
      <c r="F999" s="30"/>
      <c r="I999" s="29"/>
      <c r="J999" s="29"/>
      <c r="L999" s="29"/>
    </row>
    <row r="1000" ht="15.75" customHeight="1">
      <c r="C1000" s="29"/>
      <c r="D1000" s="30"/>
      <c r="F1000" s="30"/>
      <c r="I1000" s="29"/>
      <c r="J1000" s="29"/>
      <c r="L1000" s="29"/>
    </row>
  </sheetData>
  <mergeCells count="9">
    <mergeCell ref="B42:D42"/>
    <mergeCell ref="B52:D52"/>
    <mergeCell ref="B2:X2"/>
    <mergeCell ref="B7:C7"/>
    <mergeCell ref="B14:F14"/>
    <mergeCell ref="C15:H15"/>
    <mergeCell ref="B32:D32"/>
    <mergeCell ref="H32:J32"/>
    <mergeCell ref="H42:J42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14"/>
    <col customWidth="1" min="2" max="2" width="67.29"/>
    <col customWidth="1" min="3" max="3" width="72.29"/>
    <col customWidth="1" min="4" max="6" width="9.14"/>
    <col customWidth="1" min="7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3" t="s">
        <v>0</v>
      </c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9" t="s">
        <v>615</v>
      </c>
      <c r="C4" s="6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9" t="s">
        <v>616</v>
      </c>
      <c r="C5" s="70">
        <v>6.0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69" t="s">
        <v>617</v>
      </c>
      <c r="C6" s="6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69" t="s">
        <v>618</v>
      </c>
      <c r="C7" s="6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1"/>
      <c r="C8" s="1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37.5" customHeight="1">
      <c r="A9" s="1"/>
      <c r="B9" s="71" t="s">
        <v>619</v>
      </c>
      <c r="C9" s="7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5.5" customHeight="1">
      <c r="A10" s="1"/>
      <c r="B10" s="73" t="s">
        <v>620</v>
      </c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30.0" customHeight="1">
      <c r="A11" s="1"/>
      <c r="B11" s="74" t="s">
        <v>621</v>
      </c>
      <c r="C11" s="75" t="s">
        <v>622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3.0" customHeight="1">
      <c r="A12" s="1"/>
      <c r="B12" s="76" t="s">
        <v>9</v>
      </c>
      <c r="C12" s="77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8" t="str">
        <f>IF('AV 3'!C13="Às vezes",'AV 3'!B13,"-")</f>
        <v>-</v>
      </c>
      <c r="C13" s="78" t="str">
        <f>IF('AV 3'!C13="Não",'AV 3'!B13,"-")</f>
        <v>-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8" t="str">
        <f>IF('AV 3'!C14="Às vezes",'AV 3'!B14,"-")</f>
        <v>-</v>
      </c>
      <c r="C14" s="78" t="str">
        <f>IF('AV 3'!C14="Não",'AV 3'!B14,"-")</f>
        <v>02 Sorri em resposta à atenção do adulto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8" t="str">
        <f>IF('AV 3'!C15="Às vezes",'AV 3'!B15,"-")</f>
        <v>03 Vocaliza em resposta à atenção</v>
      </c>
      <c r="C15" s="78" t="str">
        <f>IF('AV 3'!C15="Não",'AV 3'!B15,"-")</f>
        <v>-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8" t="str">
        <f>IF('AV 3'!C16="Às vezes",'AV 3'!B16,"-")</f>
        <v>-</v>
      </c>
      <c r="C16" s="78" t="str">
        <f>IF('AV 3'!C16="Não",'AV 3'!B16,"-")</f>
        <v>-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8" t="str">
        <f>IF('AV 3'!C17="Às vezes",'AV 3'!B17,"-")</f>
        <v>-</v>
      </c>
      <c r="C17" s="78" t="str">
        <f>IF('AV 3'!C17="Não",'AV 3'!B17,"-")</f>
        <v>-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8" t="str">
        <f>IF('AV 3'!C18="Às vezes",'AV 3'!B18,"-")</f>
        <v>-</v>
      </c>
      <c r="C18" s="78" t="str">
        <f>IF('AV 3'!C18="Não",'AV 3'!B18,"-")</f>
        <v>-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8" t="str">
        <f>IF('AV 3'!C19="Às vezes",'AV 3'!B19,"-")</f>
        <v>-</v>
      </c>
      <c r="C19" s="78" t="str">
        <f>IF('AV 3'!C19="Não",'AV 3'!B19,"-")</f>
        <v>-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8" t="str">
        <f>IF('AV 3'!C20="Às vezes",'AV 3'!B20,"-")</f>
        <v>-</v>
      </c>
      <c r="C20" s="78" t="str">
        <f>IF('AV 3'!C20="Não",'AV 3'!B20,"-")</f>
        <v>-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78" t="str">
        <f>IF('AV 3'!C21="Às vezes",'AV 3'!B21,"-")</f>
        <v>-</v>
      </c>
      <c r="C21" s="78" t="str">
        <f>IF('AV 3'!C21="Não",'AV 3'!B21,"-")</f>
        <v>-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78" t="str">
        <f>IF('AV 3'!C22="Às vezes",'AV 3'!B22,"-")</f>
        <v>-</v>
      </c>
      <c r="C22" s="78" t="str">
        <f>IF('AV 3'!C22="Não",'AV 3'!B22,"-")</f>
        <v>-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78" t="str">
        <f>IF('AV 3'!C23="Às vezes",'AV 3'!B23,"-")</f>
        <v>-</v>
      </c>
      <c r="C23" s="78" t="str">
        <f>IF('AV 3'!C23="Não",'AV 3'!B23,"-")</f>
        <v>-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78" t="str">
        <f>IF('AV 3'!C24="Às vezes",'AV 3'!B24,"-")</f>
        <v>-</v>
      </c>
      <c r="C24" s="78" t="str">
        <f>IF('AV 3'!C24="Não",'AV 3'!B24,"-")</f>
        <v>-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78" t="str">
        <f>IF('AV 3'!C25="Às vezes",'AV 3'!B25,"-")</f>
        <v>-</v>
      </c>
      <c r="C25" s="78" t="str">
        <f>IF('AV 3'!C25="Não",'AV 3'!B25,"-")</f>
        <v>-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78" t="str">
        <f>IF('AV 3'!C26="Às vezes",'AV 3'!B26,"-")</f>
        <v>-</v>
      </c>
      <c r="C26" s="78" t="str">
        <f>IF('AV 3'!C26="Não",'AV 3'!B26,"-")</f>
        <v>-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78" t="str">
        <f>IF('AV 3'!C27="Às vezes",'AV 3'!B27,"-")</f>
        <v>-</v>
      </c>
      <c r="C27" s="78" t="str">
        <f>IF('AV 3'!C27="Não",'AV 3'!B27,"-")</f>
        <v>-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78" t="str">
        <f>IF('AV 3'!C28="Às vezes",'AV 3'!B28,"-")</f>
        <v>-</v>
      </c>
      <c r="C28" s="78" t="str">
        <f>IF('AV 3'!C28="Não",'AV 3'!B28,"-")</f>
        <v>-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78" t="str">
        <f>IF('AV 3'!C29="Às vezes",'AV 3'!B29,"-")</f>
        <v>-</v>
      </c>
      <c r="C29" s="78" t="str">
        <f>IF('AV 3'!C29="Não",'AV 3'!B29,"-")</f>
        <v>-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78" t="str">
        <f>IF('AV 3'!C30="Às vezes",'AV 3'!B30,"-")</f>
        <v>-</v>
      </c>
      <c r="C30" s="78" t="str">
        <f>IF('AV 3'!C30="Não",'AV 3'!B30,"-")</f>
        <v>-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78" t="str">
        <f>IF('AV 3'!C31="Às vezes",'AV 3'!B31,"-")</f>
        <v>-</v>
      </c>
      <c r="C31" s="78" t="str">
        <f>IF('AV 3'!C31="Não",'AV 3'!B31,"-")</f>
        <v>-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78" t="str">
        <f>IF('AV 3'!C32="Às vezes",'AV 3'!B32,"-")</f>
        <v>-</v>
      </c>
      <c r="C32" s="78" t="str">
        <f>IF('AV 3'!C32="Não",'AV 3'!B32,"-")</f>
        <v>-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78" t="str">
        <f>IF('AV 3'!C33="Às vezes",'AV 3'!B33,"-")</f>
        <v>-</v>
      </c>
      <c r="C33" s="78" t="str">
        <f>IF('AV 3'!C33="Não",'AV 3'!B33,"-")</f>
        <v>-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78" t="str">
        <f>IF('AV 3'!C34="Às vezes",'AV 3'!B34,"-")</f>
        <v>-</v>
      </c>
      <c r="C34" s="78" t="str">
        <f>IF('AV 3'!C34="Não",'AV 3'!B34,"-")</f>
        <v>-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78" t="str">
        <f>IF('AV 3'!C35="Às vezes",'AV 3'!B35,"-")</f>
        <v>-</v>
      </c>
      <c r="C35" s="78" t="str">
        <f>IF('AV 3'!C35="Não",'AV 3'!B35,"-")</f>
        <v>-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78" t="str">
        <f>IF('AV 3'!C36="Às vezes",'AV 3'!B36,"-")</f>
        <v>-</v>
      </c>
      <c r="C36" s="78" t="str">
        <f>IF('AV 3'!C36="Não",'AV 3'!B36,"-")</f>
        <v>-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78" t="str">
        <f>IF('AV 3'!C37="Às vezes",'AV 3'!B37,"-")</f>
        <v>-</v>
      </c>
      <c r="C37" s="78" t="str">
        <f>IF('AV 3'!C37="Não",'AV 3'!B37,"-")</f>
        <v>-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78" t="str">
        <f>IF('AV 3'!C38="Às vezes",'AV 3'!B38,"-")</f>
        <v>-</v>
      </c>
      <c r="C38" s="78" t="str">
        <f>IF('AV 3'!C38="Não",'AV 3'!B38,"-")</f>
        <v>-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78" t="str">
        <f>IF('AV 3'!C39="Às vezes",'AV 3'!B39,"-")</f>
        <v>-</v>
      </c>
      <c r="C39" s="78" t="str">
        <f>IF('AV 3'!C39="Não",'AV 3'!B39,"-")</f>
        <v>-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78" t="str">
        <f>IF('AV 3'!C40="Às vezes",'AV 3'!B40,"-")</f>
        <v>-</v>
      </c>
      <c r="C40" s="78" t="str">
        <f>IF('AV 3'!C40="Não",'AV 3'!B40,"-")</f>
        <v>-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78" t="str">
        <f>IF('AV 3'!C41="Às vezes",'AV 3'!B41,"-")</f>
        <v>-</v>
      </c>
      <c r="C41" s="78" t="str">
        <f>IF('AV 3'!C41="Não",'AV 3'!B41,"-")</f>
        <v>-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78" t="str">
        <f>IF('AV 3'!C42="Às vezes",'AV 3'!B42,"-")</f>
        <v>-</v>
      </c>
      <c r="C42" s="78" t="str">
        <f>IF('AV 3'!C42="Não",'AV 3'!B42,"-")</f>
        <v>-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78" t="str">
        <f>IF('AV 3'!C43="Às vezes",'AV 3'!B43,"-")</f>
        <v>-</v>
      </c>
      <c r="C43" s="78" t="str">
        <f>IF('AV 3'!C43="Não",'AV 3'!B43,"-")</f>
        <v>-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78" t="str">
        <f>IF('AV 3'!C44="Às vezes",'AV 3'!B44,"-")</f>
        <v>-</v>
      </c>
      <c r="C44" s="78" t="str">
        <f>IF('AV 3'!C44="Não",'AV 3'!B44,"-")</f>
        <v>-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78" t="str">
        <f>IF('AV 3'!C45="Às vezes",'AV 3'!B45,"-")</f>
        <v>-</v>
      </c>
      <c r="C45" s="78" t="str">
        <f>IF('AV 3'!C45="Não",'AV 3'!B45,"-")</f>
        <v>-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78" t="str">
        <f>IF('AV 3'!C46="Às vezes",'AV 3'!B46,"-")</f>
        <v>-</v>
      </c>
      <c r="C46" s="78" t="str">
        <f>IF('AV 3'!C46="Não",'AV 3'!B46,"-")</f>
        <v>-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78" t="str">
        <f>IF('AV 3'!C47="Às vezes",'AV 3'!B47,"-")</f>
        <v>-</v>
      </c>
      <c r="C47" s="78" t="str">
        <f>IF('AV 3'!C47="Não",'AV 3'!B47,"-")</f>
        <v>-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78" t="str">
        <f>IF('AV 3'!C48="Às vezes",'AV 3'!B48,"-")</f>
        <v>-</v>
      </c>
      <c r="C48" s="78" t="str">
        <f>IF('AV 3'!C48="Não",'AV 3'!B48,"-")</f>
        <v>-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78" t="str">
        <f>IF('AV 3'!C49="Às vezes",'AV 3'!B49,"-")</f>
        <v>-</v>
      </c>
      <c r="C49" s="78" t="str">
        <f>IF('AV 3'!C49="Não",'AV 3'!B49,"-")</f>
        <v>-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78" t="str">
        <f>IF('AV 3'!C50="Às vezes",'AV 3'!B50,"-")</f>
        <v>-</v>
      </c>
      <c r="C50" s="78" t="str">
        <f>IF('AV 3'!C50="Não",'AV 3'!B50,"-")</f>
        <v>-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78" t="str">
        <f>IF('AV 3'!C51="Às vezes",'AV 3'!B51,"-")</f>
        <v>-</v>
      </c>
      <c r="C51" s="78" t="str">
        <f>IF('AV 3'!C51="Não",'AV 3'!B51,"-")</f>
        <v>-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78" t="str">
        <f>IF('AV 3'!C52="Às vezes",'AV 3'!B52,"-")</f>
        <v>-</v>
      </c>
      <c r="C52" s="78" t="str">
        <f>IF('AV 3'!C52="Não",'AV 3'!B52,"-")</f>
        <v>-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78" t="str">
        <f>IF('AV 3'!C53="Às vezes",'AV 3'!B53,"-")</f>
        <v>-</v>
      </c>
      <c r="C53" s="78" t="str">
        <f>IF('AV 3'!C53="Não",'AV 3'!B53,"-")</f>
        <v>-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78" t="str">
        <f>IF('AV 3'!C54="Às vezes",'AV 3'!B54,"-")</f>
        <v>-</v>
      </c>
      <c r="C54" s="78" t="str">
        <f>IF('AV 3'!C54="Não",'AV 3'!B54,"-")</f>
        <v>-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78" t="str">
        <f>IF('AV 3'!C55="Às vezes",'AV 3'!B55,"-")</f>
        <v>-</v>
      </c>
      <c r="C55" s="78" t="str">
        <f>IF('AV 3'!C55="Não",'AV 3'!B55,"-")</f>
        <v>-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78" t="str">
        <f>IF('AV 3'!C56="Às vezes",'AV 3'!B56,"-")</f>
        <v>-</v>
      </c>
      <c r="C56" s="78" t="str">
        <f>IF('AV 3'!C56="Não",'AV 3'!B56,"-")</f>
        <v>-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78" t="str">
        <f>IF('AV 3'!C57="Às vezes",'AV 3'!B57,"-")</f>
        <v>-</v>
      </c>
      <c r="C57" s="78" t="str">
        <f>IF('AV 3'!C57="Não",'AV 3'!B57,"-")</f>
        <v>-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78" t="str">
        <f>IF('AV 3'!C58="Às vezes",'AV 3'!B58,"-")</f>
        <v>-</v>
      </c>
      <c r="C58" s="78" t="str">
        <f>IF('AV 3'!C58="Não",'AV 3'!B58,"-")</f>
        <v>-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78" t="str">
        <f>IF('AV 3'!C59="Às vezes",'AV 3'!B59,"-")</f>
        <v>-</v>
      </c>
      <c r="C59" s="78" t="str">
        <f>IF('AV 3'!C59="Não",'AV 3'!B59,"-")</f>
        <v>-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78" t="str">
        <f>IF('AV 3'!C60="Às vezes",'AV 3'!B60,"-")</f>
        <v>-</v>
      </c>
      <c r="C60" s="78" t="str">
        <f>IF('AV 3'!C60="Não",'AV 3'!B60,"-")</f>
        <v>-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78" t="str">
        <f>IF('AV 3'!C61="Às vezes",'AV 3'!B61,"-")</f>
        <v>-</v>
      </c>
      <c r="C61" s="78" t="str">
        <f>IF('AV 3'!C61="Não",'AV 3'!B61,"-")</f>
        <v>-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78" t="str">
        <f>IF('AV 3'!C62="Às vezes",'AV 3'!B62,"-")</f>
        <v>-</v>
      </c>
      <c r="C62" s="78" t="str">
        <f>IF('AV 3'!C62="Não",'AV 3'!B62,"-")</f>
        <v>-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78" t="str">
        <f>IF('AV 3'!C63="Às vezes",'AV 3'!B63,"-")</f>
        <v>-</v>
      </c>
      <c r="C63" s="78" t="str">
        <f>IF('AV 3'!C63="Não",'AV 3'!B63,"-")</f>
        <v>-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78" t="str">
        <f>IF('AV 3'!C64="Às vezes",'AV 3'!B64,"-")</f>
        <v>-</v>
      </c>
      <c r="C64" s="78" t="str">
        <f>IF('AV 3'!C64="Não",'AV 3'!B64,"-")</f>
        <v>-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78" t="str">
        <f>IF('AV 3'!C65="Às vezes",'AV 3'!B65,"-")</f>
        <v>-</v>
      </c>
      <c r="C65" s="78" t="str">
        <f>IF('AV 3'!C65="Não",'AV 3'!B65,"-")</f>
        <v>-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78" t="str">
        <f>IF('AV 3'!C66="Às vezes",'AV 3'!B66,"-")</f>
        <v>-</v>
      </c>
      <c r="C66" s="78" t="str">
        <f>IF('AV 3'!C66="Não",'AV 3'!B66,"-")</f>
        <v>-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78" t="str">
        <f>IF('AV 3'!C67="Às vezes",'AV 3'!B67,"-")</f>
        <v>-</v>
      </c>
      <c r="C67" s="78" t="str">
        <f>IF('AV 3'!C67="Não",'AV 3'!B67,"-")</f>
        <v>-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78" t="str">
        <f>IF('AV 3'!C68="Às vezes",'AV 3'!B68,"-")</f>
        <v>-</v>
      </c>
      <c r="C68" s="78" t="str">
        <f>IF('AV 3'!C68="Não",'AV 3'!B68,"-")</f>
        <v>-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78" t="str">
        <f>IF('AV 3'!C69="Às vezes",'AV 3'!B69,"-")</f>
        <v>-</v>
      </c>
      <c r="C69" s="78" t="str">
        <f>IF('AV 3'!C69="Não",'AV 3'!B69,"-")</f>
        <v>-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78" t="str">
        <f>IF('AV 3'!C70="Às vezes",'AV 3'!B70,"-")</f>
        <v>-</v>
      </c>
      <c r="C70" s="78" t="str">
        <f>IF('AV 3'!C70="Não",'AV 3'!B70,"-")</f>
        <v>-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78" t="str">
        <f>IF('AV 3'!C71="Às vezes",'AV 3'!B71,"-")</f>
        <v>-</v>
      </c>
      <c r="C71" s="78" t="str">
        <f>IF('AV 3'!C71="Não",'AV 3'!B71,"-")</f>
        <v>-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78" t="str">
        <f>IF('AV 3'!C72="Às vezes",'AV 3'!B72,"-")</f>
        <v>-</v>
      </c>
      <c r="C72" s="78" t="str">
        <f>IF('AV 3'!C72="Não",'AV 3'!B72,"-")</f>
        <v>-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78" t="str">
        <f>IF('AV 3'!C73="Às vezes",'AV 3'!B73,"-")</f>
        <v>-</v>
      </c>
      <c r="C73" s="78" t="str">
        <f>IF('AV 3'!C73="Não",'AV 3'!B73,"-")</f>
        <v>-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78" t="str">
        <f>IF('AV 3'!C74="Às vezes",'AV 3'!B74,"-")</f>
        <v>-</v>
      </c>
      <c r="C74" s="78" t="str">
        <f>IF('AV 3'!C74="Não",'AV 3'!B74,"-")</f>
        <v>-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78" t="str">
        <f>IF('AV 3'!C75="Às vezes",'AV 3'!B75,"-")</f>
        <v>-</v>
      </c>
      <c r="C75" s="78" t="str">
        <f>IF('AV 3'!C75="Não",'AV 3'!B75,"-")</f>
        <v>-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78" t="str">
        <f>IF('AV 3'!C76="Às vezes",'AV 3'!B76,"-")</f>
        <v>-</v>
      </c>
      <c r="C76" s="78" t="str">
        <f>IF('AV 3'!C76="Não",'AV 3'!B76,"-")</f>
        <v>-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78" t="str">
        <f>IF('AV 3'!C77="Às vezes",'AV 3'!B77,"-")</f>
        <v>-</v>
      </c>
      <c r="C77" s="78" t="str">
        <f>IF('AV 3'!C77="Não",'AV 3'!B77,"-")</f>
        <v>-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78" t="str">
        <f>IF('AV 3'!C78="Às vezes",'AV 3'!B78,"-")</f>
        <v>-</v>
      </c>
      <c r="C78" s="78" t="str">
        <f>IF('AV 3'!C78="Não",'AV 3'!B78,"-")</f>
        <v>-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78" t="str">
        <f>IF('AV 3'!C79="Às vezes",'AV 3'!B79,"-")</f>
        <v>-</v>
      </c>
      <c r="C79" s="78" t="str">
        <f>IF('AV 3'!C79="Não",'AV 3'!B79,"-")</f>
        <v>-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78" t="str">
        <f>IF('AV 3'!C80="Às vezes",'AV 3'!B80,"-")</f>
        <v>-</v>
      </c>
      <c r="C80" s="78" t="str">
        <f>IF('AV 3'!C80="Não",'AV 3'!B80,"-")</f>
        <v>-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78" t="str">
        <f>IF('AV 3'!C81="Às vezes",'AV 3'!B81,"-")</f>
        <v>-</v>
      </c>
      <c r="C81" s="78" t="str">
        <f>IF('AV 3'!C81="Não",'AV 3'!B81,"-")</f>
        <v>-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78" t="str">
        <f>IF('AV 3'!C82="Às vezes",'AV 3'!B82,"-")</f>
        <v>-</v>
      </c>
      <c r="C82" s="78" t="str">
        <f>IF('AV 3'!C82="Não",'AV 3'!B82,"-")</f>
        <v>-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78" t="str">
        <f>IF('AV 3'!C83="Às vezes",'AV 3'!B83,"-")</f>
        <v>-</v>
      </c>
      <c r="C83" s="78" t="str">
        <f>IF('AV 3'!C83="Não",'AV 3'!B83,"-")</f>
        <v>-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78" t="str">
        <f>IF('AV 3'!C84="Às vezes",'AV 3'!B84,"-")</f>
        <v>-</v>
      </c>
      <c r="C84" s="78" t="str">
        <f>IF('AV 3'!C84="Não",'AV 3'!B84,"-")</f>
        <v>-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78" t="str">
        <f>IF('AV 3'!C85="Às vezes",'AV 3'!B85,"-")</f>
        <v>-</v>
      </c>
      <c r="C85" s="78" t="str">
        <f>IF('AV 3'!C85="Não",'AV 3'!B85,"-")</f>
        <v>-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78" t="str">
        <f>IF('AV 3'!C86="Às vezes",'AV 3'!B86,"-")</f>
        <v>-</v>
      </c>
      <c r="C86" s="78" t="str">
        <f>IF('AV 3'!C86="Não",'AV 3'!B86,"-")</f>
        <v>-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78" t="str">
        <f>IF('AV 3'!C87="Às vezes",'AV 3'!B87,"-")</f>
        <v>-</v>
      </c>
      <c r="C87" s="78" t="str">
        <f>IF('AV 3'!C87="Não",'AV 3'!B87,"-")</f>
        <v>-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78" t="str">
        <f>IF('AV 3'!C88="Às vezes",'AV 3'!B88,"-")</f>
        <v>-</v>
      </c>
      <c r="C88" s="78" t="str">
        <f>IF('AV 3'!C88="Não",'AV 3'!B88,"-")</f>
        <v>-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78" t="str">
        <f>IF('AV 3'!C89="Às vezes",'AV 3'!B89,"-")</f>
        <v>-</v>
      </c>
      <c r="C89" s="78" t="str">
        <f>IF('AV 3'!C89="Não",'AV 3'!B89,"-")</f>
        <v>-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78" t="str">
        <f>IF('AV 3'!C90="Às vezes",'AV 3'!B90,"-")</f>
        <v>-</v>
      </c>
      <c r="C90" s="78" t="str">
        <f>IF('AV 3'!C90="Não",'AV 3'!B90,"-")</f>
        <v>-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78" t="str">
        <f>IF('AV 3'!C91="Às vezes",'AV 3'!B91,"-")</f>
        <v>-</v>
      </c>
      <c r="C91" s="78" t="str">
        <f>IF('AV 3'!C91="Não",'AV 3'!B91,"-")</f>
        <v>-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78" t="str">
        <f>IF('AV 3'!C92="Às vezes",'AV 3'!B92,"-")</f>
        <v>-</v>
      </c>
      <c r="C92" s="78" t="str">
        <f>IF('AV 3'!C92="Não",'AV 3'!B92,"-")</f>
        <v>-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78" t="str">
        <f>IF('AV 3'!C93="Às vezes",'AV 3'!B93,"-")</f>
        <v>-</v>
      </c>
      <c r="C93" s="78" t="str">
        <f>IF('AV 3'!C93="Não",'AV 3'!B93,"-")</f>
        <v>-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78" t="str">
        <f>IF('AV 3'!C94="Às vezes",'AV 3'!B94,"-")</f>
        <v>-</v>
      </c>
      <c r="C94" s="78" t="str">
        <f>IF('AV 3'!C94="Não",'AV 3'!B94,"-")</f>
        <v>-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78" t="str">
        <f>IF('AV 3'!C95="Às vezes",'AV 3'!B95,"-")</f>
        <v>-</v>
      </c>
      <c r="C95" s="78" t="str">
        <f>IF('AV 3'!C95="Não",'AV 3'!B95,"-")</f>
        <v>-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78" t="str">
        <f>IF('AV 3'!C96="Às vezes",'AV 3'!B96,"-")</f>
        <v>-</v>
      </c>
      <c r="C96" s="78" t="str">
        <f>IF('AV 3'!C96="Não",'AV 3'!B96,"-")</f>
        <v>-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78" t="str">
        <f>IF('AV 3'!C97="Às vezes",'AV 3'!B97,"-")</f>
        <v>-</v>
      </c>
      <c r="C97" s="78" t="str">
        <f>IF('AV 3'!C97="Não",'AV 3'!B97,"-")</f>
        <v>-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78" t="str">
        <f>IF('AV 3'!C98="Às vezes",'AV 3'!B98,"-")</f>
        <v>-</v>
      </c>
      <c r="C98" s="78" t="str">
        <f>IF('AV 3'!C98="Não",'AV 3'!B98,"-")</f>
        <v>-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8" t="str">
        <f>IF('AV 3'!C99="Às vezes",'AV 3'!B99,"-")</f>
        <v>-</v>
      </c>
      <c r="C99" s="78" t="str">
        <f>IF('AV 3'!C99="Não",'AV 3'!B99,"-")</f>
        <v>-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78" t="str">
        <f>IF('AV 3'!C100="Às vezes",'AV 3'!B100,"-")</f>
        <v>-</v>
      </c>
      <c r="C100" s="78" t="str">
        <f>IF('AV 3'!C100="Não",'AV 3'!B100,"-")</f>
        <v>-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78" t="str">
        <f>IF('AV 3'!C101="Às vezes",'AV 3'!B101,"-")</f>
        <v>-</v>
      </c>
      <c r="C101" s="78" t="str">
        <f>IF('AV 3'!C101="Não",'AV 3'!B101,"-")</f>
        <v>-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78" t="str">
        <f>IF('AV 3'!C102="Às vezes",'AV 3'!B102,"-")</f>
        <v>-</v>
      </c>
      <c r="C102" s="78" t="str">
        <f>IF('AV 3'!C102="Não",'AV 3'!B102,"-")</f>
        <v>-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78" t="str">
        <f>IF('AV 3'!C103="Às vezes",'AV 3'!B103,"-")</f>
        <v>-</v>
      </c>
      <c r="C103" s="78" t="str">
        <f>IF('AV 3'!C103="Não",'AV 3'!B103,"-")</f>
        <v>-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78" t="str">
        <f>IF('AV 3'!C104="Às vezes",'AV 3'!B104,"-")</f>
        <v>-</v>
      </c>
      <c r="C104" s="78" t="str">
        <f>IF('AV 3'!C104="Não",'AV 3'!B104,"-")</f>
        <v>-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78" t="str">
        <f>IF('AV 3'!C105="Às vezes",'AV 3'!B105,"-")</f>
        <v>-</v>
      </c>
      <c r="C105" s="78" t="str">
        <f>IF('AV 3'!C105="Não",'AV 3'!B105,"-")</f>
        <v>-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79" t="s">
        <v>10</v>
      </c>
      <c r="C106" s="79" t="s">
        <v>10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78" t="str">
        <f>IF('AV 3'!F13="Às vezes",'AV 3'!E13,"-")</f>
        <v>-</v>
      </c>
      <c r="C107" s="69" t="str">
        <f>IF('AV 3'!F13="Não",'AV 3'!E13,"-")</f>
        <v>-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78" t="str">
        <f>IF('AV 3'!F14="Às vezes",'AV 3'!E14,"-")</f>
        <v>-</v>
      </c>
      <c r="C108" s="69" t="str">
        <f>IF('AV 3'!F14="Não",'AV 3'!E14,"-")</f>
        <v>-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78" t="str">
        <f>IF('AV 3'!F15="Às vezes",'AV 3'!E15,"-")</f>
        <v>-</v>
      </c>
      <c r="C109" s="69" t="str">
        <f>IF('AV 3'!F15="Não",'AV 3'!E15,"-")</f>
        <v>-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78" t="str">
        <f>IF('AV 3'!F16="Às vezes",'AV 3'!E16,"-")</f>
        <v>-</v>
      </c>
      <c r="C110" s="69" t="str">
        <f>IF('AV 3'!F16="Não",'AV 3'!E16,"-")</f>
        <v>-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78" t="str">
        <f>IF('AV 3'!F17="Às vezes",'AV 3'!E17,"-")</f>
        <v>-</v>
      </c>
      <c r="C111" s="69" t="str">
        <f>IF('AV 3'!F17="Não",'AV 3'!E17,"-")</f>
        <v>-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78" t="str">
        <f>IF('AV 3'!F18="Às vezes",'AV 3'!E18,"-")</f>
        <v>-</v>
      </c>
      <c r="C112" s="69" t="str">
        <f>IF('AV 3'!F18="Não",'AV 3'!E18,"-")</f>
        <v>-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78" t="str">
        <f>IF('AV 3'!F19="Às vezes",'AV 3'!E19,"-")</f>
        <v>-</v>
      </c>
      <c r="C113" s="69" t="str">
        <f>IF('AV 3'!F19="Não",'AV 3'!E19,"-")</f>
        <v>-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78" t="str">
        <f>IF('AV 3'!F20="Às vezes",'AV 3'!E20,"-")</f>
        <v>-</v>
      </c>
      <c r="C114" s="69" t="str">
        <f>IF('AV 3'!F20="Não",'AV 3'!E20,"-")</f>
        <v>-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78" t="str">
        <f>IF('AV 3'!F21="Às vezes",'AV 3'!E21,"-")</f>
        <v>-</v>
      </c>
      <c r="C115" s="69" t="str">
        <f>IF('AV 3'!F21="Não",'AV 3'!E21,"-")</f>
        <v>-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78" t="str">
        <f>IF('AV 3'!F22="Às vezes",'AV 3'!E22,"-")</f>
        <v>-</v>
      </c>
      <c r="C116" s="69" t="str">
        <f>IF('AV 3'!F22="Não",'AV 3'!E22,"-")</f>
        <v>-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78" t="str">
        <f>IF('AV 3'!F23="Às vezes",'AV 3'!E23,"-")</f>
        <v>-</v>
      </c>
      <c r="C117" s="69" t="str">
        <f>IF('AV 3'!F23="Não",'AV 3'!E23,"-")</f>
        <v>-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78" t="str">
        <f>IF('AV 3'!F24="Às vezes",'AV 3'!E24,"-")</f>
        <v>-</v>
      </c>
      <c r="C118" s="69" t="str">
        <f>IF('AV 3'!F24="Não",'AV 3'!E24,"-")</f>
        <v>-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33.0" customHeight="1">
      <c r="A119" s="1"/>
      <c r="B119" s="78" t="str">
        <f>IF('AV 3'!F25="Às vezes",'AV 3'!E25,"-")</f>
        <v>-</v>
      </c>
      <c r="C119" s="69" t="str">
        <f>IF('AV 3'!F25="Não",'AV 3'!E25,"-")</f>
        <v>-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78" t="str">
        <f>IF('AV 3'!F26="Às vezes",'AV 3'!E26,"-")</f>
        <v>-</v>
      </c>
      <c r="C120" s="69" t="str">
        <f>IF('AV 3'!F26="Não",'AV 3'!E26,"-")</f>
        <v>-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78" t="str">
        <f>IF('AV 3'!F27="Às vezes",'AV 3'!E27,"-")</f>
        <v>-</v>
      </c>
      <c r="C121" s="69" t="str">
        <f>IF('AV 3'!F27="Não",'AV 3'!E27,"-")</f>
        <v>-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78" t="str">
        <f>IF('AV 3'!F28="Às vezes",'AV 3'!E28,"-")</f>
        <v>-</v>
      </c>
      <c r="C122" s="69" t="str">
        <f>IF('AV 3'!F28="Não",'AV 3'!E28,"-")</f>
        <v>-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78" t="str">
        <f>IF('AV 3'!F29="Às vezes",'AV 3'!E29,"-")</f>
        <v>-</v>
      </c>
      <c r="C123" s="69" t="str">
        <f>IF('AV 3'!F29="Não",'AV 3'!E29,"-")</f>
        <v>-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78" t="str">
        <f>IF('AV 3'!F30="Às vezes",'AV 3'!E30,"-")</f>
        <v>-</v>
      </c>
      <c r="C124" s="69" t="str">
        <f>IF('AV 3'!F30="Não",'AV 3'!E30,"-")</f>
        <v>-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78" t="str">
        <f>IF('AV 3'!F31="Às vezes",'AV 3'!E31,"-")</f>
        <v>-</v>
      </c>
      <c r="C125" s="69" t="str">
        <f>IF('AV 3'!F31="Não",'AV 3'!E31,"-")</f>
        <v>-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9.25" customHeight="1">
      <c r="A126" s="1"/>
      <c r="B126" s="78" t="str">
        <f>IF('AV 3'!F32="Às vezes",'AV 3'!E32,"-")</f>
        <v>-</v>
      </c>
      <c r="C126" s="69" t="str">
        <f>IF('AV 3'!F32="Não",'AV 3'!E32,"-")</f>
        <v>-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78" t="str">
        <f>IF('AV 3'!F33="Às vezes",'AV 3'!E33,"-")</f>
        <v>-</v>
      </c>
      <c r="C127" s="69" t="str">
        <f>IF('AV 3'!F33="Não",'AV 3'!E33,"-")</f>
        <v>-</v>
      </c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78" t="str">
        <f>IF('AV 3'!F34="Às vezes",'AV 3'!E34,"-")</f>
        <v>-</v>
      </c>
      <c r="C128" s="69" t="str">
        <f>IF('AV 3'!F34="Não",'AV 3'!E34,"-")</f>
        <v>-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78" t="str">
        <f>IF('AV 3'!F35="Às vezes",'AV 3'!E35,"-")</f>
        <v>-</v>
      </c>
      <c r="C129" s="69" t="str">
        <f>IF('AV 3'!F35="Não",'AV 3'!E35,"-")</f>
        <v>-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78" t="str">
        <f>IF('AV 3'!F36="Às vezes",'AV 3'!E36,"-")</f>
        <v>-</v>
      </c>
      <c r="C130" s="69" t="str">
        <f>IF('AV 3'!F36="Não",'AV 3'!E36,"-")</f>
        <v>-</v>
      </c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78" t="str">
        <f>IF('AV 3'!F37="Às vezes",'AV 3'!E37,"-")</f>
        <v>-</v>
      </c>
      <c r="C131" s="69" t="str">
        <f>IF('AV 3'!F37="Não",'AV 3'!E37,"-")</f>
        <v>-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78" t="str">
        <f>IF('AV 3'!F38="Às vezes",'AV 3'!E38,"-")</f>
        <v>-</v>
      </c>
      <c r="C132" s="69" t="str">
        <f>IF('AV 3'!F38="Não",'AV 3'!E38,"-")</f>
        <v>-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78" t="str">
        <f>IF('AV 3'!F39="Às vezes",'AV 3'!E39,"-")</f>
        <v>-</v>
      </c>
      <c r="C133" s="69" t="str">
        <f>IF('AV 3'!F39="Não",'AV 3'!E39,"-")</f>
        <v>-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47.25" customHeight="1">
      <c r="A134" s="1"/>
      <c r="B134" s="78" t="str">
        <f>IF('AV 3'!F40="Às vezes",'AV 3'!E40,"-")</f>
        <v>-</v>
      </c>
      <c r="C134" s="69" t="str">
        <f>IF('AV 3'!F40="Não",'AV 3'!E40,"-")</f>
        <v>-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78" t="str">
        <f>IF('AV 3'!F41="Às vezes",'AV 3'!E41,"-")</f>
        <v>-</v>
      </c>
      <c r="C135" s="69" t="str">
        <f>IF('AV 3'!F41="Não",'AV 3'!E41,"-")</f>
        <v>-</v>
      </c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78" t="str">
        <f>IF('AV 3'!F42="Às vezes",'AV 3'!E42,"-")</f>
        <v>-</v>
      </c>
      <c r="C136" s="69" t="str">
        <f>IF('AV 3'!F42="Não",'AV 3'!E42,"-")</f>
        <v>-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78" t="str">
        <f>IF('AV 3'!F43="Às vezes",'AV 3'!E43,"-")</f>
        <v>-</v>
      </c>
      <c r="C137" s="69" t="str">
        <f>IF('AV 3'!F43="Não",'AV 3'!E43,"-")</f>
        <v>-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78" t="str">
        <f>IF('AV 3'!F44="Às vezes",'AV 3'!E44,"-")</f>
        <v>-</v>
      </c>
      <c r="C138" s="69" t="str">
        <f>IF('AV 3'!F44="Não",'AV 3'!E44,"-")</f>
        <v>-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78" t="str">
        <f>IF('AV 3'!F45="Às vezes",'AV 3'!E45,"-")</f>
        <v>-</v>
      </c>
      <c r="C139" s="69" t="str">
        <f>IF('AV 3'!F45="Não",'AV 3'!E45,"-")</f>
        <v>-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78" t="str">
        <f>IF('AV 3'!F46="Às vezes",'AV 3'!E46,"-")</f>
        <v>-</v>
      </c>
      <c r="C140" s="69" t="str">
        <f>IF('AV 3'!F46="Não",'AV 3'!E46,"-")</f>
        <v>-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78" t="str">
        <f>IF('AV 3'!F47="Às vezes",'AV 3'!E47,"-")</f>
        <v>-</v>
      </c>
      <c r="C141" s="69" t="str">
        <f>IF('AV 3'!F47="Não",'AV 3'!E47,"-")</f>
        <v>-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78" t="str">
        <f>IF('AV 3'!F48="Às vezes",'AV 3'!E48,"-")</f>
        <v>-</v>
      </c>
      <c r="C142" s="69" t="str">
        <f>IF('AV 3'!F48="Não",'AV 3'!E48,"-")</f>
        <v>-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78" t="str">
        <f>IF('AV 3'!F49="Às vezes",'AV 3'!E49,"-")</f>
        <v>-</v>
      </c>
      <c r="C143" s="69" t="str">
        <f>IF('AV 3'!F49="Não",'AV 3'!E49,"-")</f>
        <v>-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78" t="str">
        <f>IF('AV 3'!F50="Às vezes",'AV 3'!E50,"-")</f>
        <v>-</v>
      </c>
      <c r="C144" s="69" t="str">
        <f>IF('AV 3'!F50="Não",'AV 3'!E50,"-")</f>
        <v>-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78" t="str">
        <f>IF('AV 3'!F51="Às vezes",'AV 3'!E51,"-")</f>
        <v>-</v>
      </c>
      <c r="C145" s="69" t="str">
        <f>IF('AV 3'!F51="Não",'AV 3'!E51,"-")</f>
        <v>-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78" t="str">
        <f>IF('AV 3'!F52="Às vezes",'AV 3'!E52,"-")</f>
        <v>-</v>
      </c>
      <c r="C146" s="69" t="str">
        <f>IF('AV 3'!F52="Não",'AV 3'!E52,"-")</f>
        <v>-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78" t="str">
        <f>IF('AV 3'!F53="Às vezes",'AV 3'!E53,"-")</f>
        <v>-</v>
      </c>
      <c r="C147" s="69" t="str">
        <f>IF('AV 3'!F53="Não",'AV 3'!E53,"-")</f>
        <v>-</v>
      </c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78" t="str">
        <f>IF('AV 3'!F54="Às vezes",'AV 3'!E54,"-")</f>
        <v>-</v>
      </c>
      <c r="C148" s="69" t="str">
        <f>IF('AV 3'!F54="Não",'AV 3'!E54,"-")</f>
        <v>-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78" t="str">
        <f>IF('AV 3'!F55="Às vezes",'AV 3'!E55,"-")</f>
        <v>-</v>
      </c>
      <c r="C149" s="69" t="str">
        <f>IF('AV 3'!F55="Não",'AV 3'!E55,"-")</f>
        <v>-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78" t="str">
        <f>IF('AV 3'!F56="Às vezes",'AV 3'!E56,"-")</f>
        <v>-</v>
      </c>
      <c r="C150" s="69" t="str">
        <f>IF('AV 3'!F56="Não",'AV 3'!E56,"-")</f>
        <v>-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78" t="str">
        <f>IF('AV 3'!F57="Às vezes",'AV 3'!E57,"-")</f>
        <v>-</v>
      </c>
      <c r="C151" s="69" t="str">
        <f>IF('AV 3'!F57="Não",'AV 3'!E57,"-")</f>
        <v>-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78" t="str">
        <f>IF('AV 3'!F58="Às vezes",'AV 3'!E58,"-")</f>
        <v>-</v>
      </c>
      <c r="C152" s="69" t="str">
        <f>IF('AV 3'!F58="Não",'AV 3'!E58,"-")</f>
        <v>-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78" t="str">
        <f>IF('AV 3'!F59="Às vezes",'AV 3'!E59,"-")</f>
        <v>-</v>
      </c>
      <c r="C153" s="69" t="str">
        <f>IF('AV 3'!F59="Não",'AV 3'!E59,"-")</f>
        <v>-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78" t="str">
        <f>IF('AV 3'!F60="Às vezes",'AV 3'!E60,"-")</f>
        <v>-</v>
      </c>
      <c r="C154" s="69" t="str">
        <f>IF('AV 3'!F60="Não",'AV 3'!E60,"-")</f>
        <v>-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78" t="str">
        <f>IF('AV 3'!F61="Às vezes",'AV 3'!E61,"-")</f>
        <v>-</v>
      </c>
      <c r="C155" s="69" t="str">
        <f>IF('AV 3'!F61="Não",'AV 3'!E61,"-")</f>
        <v>-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78" t="str">
        <f>IF('AV 3'!F62="Às vezes",'AV 3'!E62,"-")</f>
        <v>-</v>
      </c>
      <c r="C156" s="69" t="str">
        <f>IF('AV 3'!F62="Não",'AV 3'!E62,"-")</f>
        <v>-</v>
      </c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78" t="str">
        <f>IF('AV 3'!F63="Às vezes",'AV 3'!E63,"-")</f>
        <v>-</v>
      </c>
      <c r="C157" s="69" t="str">
        <f>IF('AV 3'!F63="Não",'AV 3'!E63,"-")</f>
        <v>-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78" t="str">
        <f>IF('AV 3'!F64="Às vezes",'AV 3'!E64,"-")</f>
        <v>-</v>
      </c>
      <c r="C158" s="69" t="str">
        <f>IF('AV 3'!F64="Não",'AV 3'!E64,"-")</f>
        <v>-</v>
      </c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78" t="str">
        <f>IF('AV 3'!F65="Às vezes",'AV 3'!E65,"-")</f>
        <v>-</v>
      </c>
      <c r="C159" s="69" t="str">
        <f>IF('AV 3'!F65="Não",'AV 3'!E65,"-")</f>
        <v>-</v>
      </c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78" t="str">
        <f>IF('AV 3'!F66="Às vezes",'AV 3'!E66,"-")</f>
        <v>-</v>
      </c>
      <c r="C160" s="69" t="str">
        <f>IF('AV 3'!F66="Não",'AV 3'!E66,"-")</f>
        <v>-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78" t="str">
        <f>IF('AV 3'!F67="Às vezes",'AV 3'!E67,"-")</f>
        <v>-</v>
      </c>
      <c r="C161" s="69" t="str">
        <f>IF('AV 3'!F67="Não",'AV 3'!E67,"-")</f>
        <v>-</v>
      </c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78" t="str">
        <f>IF('AV 3'!F68="Às vezes",'AV 3'!E68,"-")</f>
        <v>-</v>
      </c>
      <c r="C162" s="69" t="str">
        <f>IF('AV 3'!F68="Não",'AV 3'!E68,"-")</f>
        <v>-</v>
      </c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78" t="str">
        <f>IF('AV 3'!F69="Às vezes",'AV 3'!E69,"-")</f>
        <v>-</v>
      </c>
      <c r="C163" s="69" t="str">
        <f>IF('AV 3'!F69="Não",'AV 3'!E69,"-")</f>
        <v>-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78" t="str">
        <f>IF('AV 3'!F70="Às vezes",'AV 3'!E70,"-")</f>
        <v>-</v>
      </c>
      <c r="C164" s="69" t="str">
        <f>IF('AV 3'!F70="Não",'AV 3'!E70,"-")</f>
        <v>-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78" t="str">
        <f>IF('AV 3'!F71="Às vezes",'AV 3'!E71,"-")</f>
        <v>-</v>
      </c>
      <c r="C165" s="69" t="str">
        <f>IF('AV 3'!F71="Não",'AV 3'!E71,"-")</f>
        <v>-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78" t="str">
        <f>IF('AV 3'!F72="Às vezes",'AV 3'!E72,"-")</f>
        <v>-</v>
      </c>
      <c r="C166" s="69" t="str">
        <f>IF('AV 3'!F72="Não",'AV 3'!E72,"-")</f>
        <v>-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78" t="str">
        <f>IF('AV 3'!F73="Às vezes",'AV 3'!E73,"-")</f>
        <v>-</v>
      </c>
      <c r="C167" s="69" t="str">
        <f>IF('AV 3'!F73="Não",'AV 3'!E73,"-")</f>
        <v>-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78" t="str">
        <f>IF('AV 3'!F74="Às vezes",'AV 3'!E74,"-")</f>
        <v>-</v>
      </c>
      <c r="C168" s="69" t="str">
        <f>IF('AV 3'!F74="Não",'AV 3'!E74,"-")</f>
        <v>-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78" t="str">
        <f>IF('AV 3'!F75="Às vezes",'AV 3'!E75,"-")</f>
        <v>-</v>
      </c>
      <c r="C169" s="69" t="str">
        <f>IF('AV 3'!F75="Não",'AV 3'!E75,"-")</f>
        <v>-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78" t="str">
        <f>IF('AV 3'!F76="Às vezes",'AV 3'!E76,"-")</f>
        <v>-</v>
      </c>
      <c r="C170" s="69" t="str">
        <f>IF('AV 3'!F76="Não",'AV 3'!E76,"-")</f>
        <v>-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78" t="str">
        <f>IF('AV 3'!F77="Às vezes",'AV 3'!E77,"-")</f>
        <v>-</v>
      </c>
      <c r="C171" s="69" t="str">
        <f>IF('AV 3'!F77="Não",'AV 3'!E77,"-")</f>
        <v>-</v>
      </c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78" t="str">
        <f>IF('AV 3'!F78="Às vezes",'AV 3'!E78,"-")</f>
        <v>-</v>
      </c>
      <c r="C172" s="69" t="str">
        <f>IF('AV 3'!F78="Não",'AV 3'!E78,"-")</f>
        <v>-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78" t="str">
        <f>IF('AV 3'!F79="Às vezes",'AV 3'!E79,"-")</f>
        <v>-</v>
      </c>
      <c r="C173" s="69" t="str">
        <f>IF('AV 3'!F79="Não",'AV 3'!E79,"-")</f>
        <v>-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78" t="str">
        <f>IF('AV 3'!F80="Às vezes",'AV 3'!E80,"-")</f>
        <v>-</v>
      </c>
      <c r="C174" s="69" t="str">
        <f>IF('AV 3'!F80="Não",'AV 3'!E80,"-")</f>
        <v>-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78" t="str">
        <f>IF('AV 3'!F81="Às vezes",'AV 3'!E81,"-")</f>
        <v>-</v>
      </c>
      <c r="C175" s="69" t="str">
        <f>IF('AV 3'!F81="Não",'AV 3'!E81,"-")</f>
        <v>-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78" t="str">
        <f>IF('AV 3'!F82="Às vezes",'AV 3'!E82,"-")</f>
        <v>-</v>
      </c>
      <c r="C176" s="69" t="str">
        <f>IF('AV 3'!F82="Não",'AV 3'!E82,"-")</f>
        <v>-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78" t="str">
        <f>IF('AV 3'!F83="Às vezes",'AV 3'!E83,"-")</f>
        <v>-</v>
      </c>
      <c r="C177" s="69" t="str">
        <f>IF('AV 3'!F83="Não",'AV 3'!E83,"-")</f>
        <v>-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78" t="str">
        <f>IF('AV 3'!F84="Às vezes",'AV 3'!E84,"-")</f>
        <v>-</v>
      </c>
      <c r="C178" s="69" t="str">
        <f>IF('AV 3'!F84="Não",'AV 3'!E84,"-")</f>
        <v>-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78" t="str">
        <f>IF('AV 3'!F85="Às vezes",'AV 3'!E85,"-")</f>
        <v>-</v>
      </c>
      <c r="C179" s="69" t="str">
        <f>IF('AV 3'!F85="Não",'AV 3'!E85,"-")</f>
        <v>-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78" t="str">
        <f>IF('AV 3'!F86="Às vezes",'AV 3'!E86,"-")</f>
        <v>-</v>
      </c>
      <c r="C180" s="69" t="str">
        <f>IF('AV 3'!F86="Não",'AV 3'!E86,"-")</f>
        <v>-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78" t="str">
        <f>IF('AV 3'!F87="Às vezes",'AV 3'!E87,"-")</f>
        <v>-</v>
      </c>
      <c r="C181" s="69" t="str">
        <f>IF('AV 3'!F87="Não",'AV 3'!E87,"-")</f>
        <v>-</v>
      </c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78" t="str">
        <f>IF('AV 3'!F88="Às vezes",'AV 3'!E88,"-")</f>
        <v>-</v>
      </c>
      <c r="C182" s="69" t="str">
        <f>IF('AV 3'!F88="Não",'AV 3'!E88,"-")</f>
        <v>-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78" t="str">
        <f>IF('AV 3'!F89="Às vezes",'AV 3'!E89,"-")</f>
        <v>-</v>
      </c>
      <c r="C183" s="69" t="str">
        <f>IF('AV 3'!F89="Não",'AV 3'!E89,"-")</f>
        <v>-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78" t="str">
        <f>IF('AV 3'!F90="Às vezes",'AV 3'!E90,"-")</f>
        <v>-</v>
      </c>
      <c r="C184" s="69" t="str">
        <f>IF('AV 3'!F90="Não",'AV 3'!E90,"-")</f>
        <v>-</v>
      </c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78" t="str">
        <f>IF('AV 3'!F91="Às vezes",'AV 3'!E91,"-")</f>
        <v>-</v>
      </c>
      <c r="C185" s="69" t="str">
        <f>IF('AV 3'!F91="Não",'AV 3'!E91,"-")</f>
        <v>-</v>
      </c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78" t="str">
        <f>IF('AV 3'!F92="Às vezes",'AV 3'!E92,"-")</f>
        <v>-</v>
      </c>
      <c r="C186" s="69" t="str">
        <f>IF('AV 3'!F92="Não",'AV 3'!E92,"-")</f>
        <v>-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78" t="str">
        <f>IF('AV 3'!F93="Às vezes",'AV 3'!E93,"-")</f>
        <v>-</v>
      </c>
      <c r="C187" s="69" t="str">
        <f>IF('AV 3'!F93="Não",'AV 3'!E93,"-")</f>
        <v>-</v>
      </c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78" t="str">
        <f>IF('AV 3'!F94="Às vezes",'AV 3'!E94,"-")</f>
        <v>-</v>
      </c>
      <c r="C188" s="69" t="str">
        <f>IF('AV 3'!F94="Não",'AV 3'!E94,"-")</f>
        <v>-</v>
      </c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78" t="str">
        <f>IF('AV 3'!F95="Às vezes",'AV 3'!E95,"-")</f>
        <v>-</v>
      </c>
      <c r="C189" s="69" t="str">
        <f>IF('AV 3'!F95="Não",'AV 3'!E95,"-")</f>
        <v>-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78" t="str">
        <f>IF('AV 3'!F96="Às vezes",'AV 3'!E96,"-")</f>
        <v>-</v>
      </c>
      <c r="C190" s="69" t="str">
        <f>IF('AV 3'!F96="Não",'AV 3'!E96,"-")</f>
        <v>-</v>
      </c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78" t="str">
        <f>IF('AV 3'!F97="Às vezes",'AV 3'!E97,"-")</f>
        <v>-</v>
      </c>
      <c r="C191" s="69" t="str">
        <f>IF('AV 3'!F97="Não",'AV 3'!E97,"-")</f>
        <v>-</v>
      </c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78" t="str">
        <f>IF('AV 3'!F98="Às vezes",'AV 3'!E98,"-")</f>
        <v>-</v>
      </c>
      <c r="C192" s="69" t="str">
        <f>IF('AV 3'!F98="Não",'AV 3'!E98,"-")</f>
        <v>-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78" t="str">
        <f>IF('AV 3'!F99="Às vezes",'AV 3'!E99,"-")</f>
        <v>-</v>
      </c>
      <c r="C193" s="69" t="str">
        <f>IF('AV 3'!F99="Não",'AV 3'!E99,"-")</f>
        <v>-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78" t="str">
        <f>IF('AV 3'!F100="Às vezes",'AV 3'!E100,"-")</f>
        <v>-</v>
      </c>
      <c r="C194" s="69" t="str">
        <f>IF('AV 3'!F100="Não",'AV 3'!E100,"-")</f>
        <v>-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78" t="str">
        <f>IF('AV 3'!F101="Às vezes",'AV 3'!E101,"-")</f>
        <v>-</v>
      </c>
      <c r="C195" s="69" t="str">
        <f>IF('AV 3'!F101="Não",'AV 3'!E101,"-")</f>
        <v>-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78" t="str">
        <f>IF('AV 3'!F102="Às vezes",'AV 3'!E102,"-")</f>
        <v>-</v>
      </c>
      <c r="C196" s="69" t="str">
        <f>IF('AV 3'!F102="Não",'AV 3'!E102,"-")</f>
        <v>-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78" t="str">
        <f>IF('AV 3'!F103="Às vezes",'AV 3'!E103,"-")</f>
        <v>-</v>
      </c>
      <c r="C197" s="69" t="str">
        <f>IF('AV 3'!F103="Não",'AV 3'!E103,"-")</f>
        <v>-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78" t="str">
        <f>IF('AV 3'!F104="Às vezes",'AV 3'!E104,"-")</f>
        <v>-</v>
      </c>
      <c r="C198" s="69" t="str">
        <f>IF('AV 3'!F104="Não",'AV 3'!E104,"-")</f>
        <v>-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78" t="str">
        <f>IF('AV 3'!F105="Às vezes",'AV 3'!E105,"-")</f>
        <v>-</v>
      </c>
      <c r="C199" s="69" t="str">
        <f>IF('AV 3'!F105="Não",'AV 3'!E105,"-")</f>
        <v>-</v>
      </c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78" t="str">
        <f>IF('AV 3'!F106="Às vezes",'AV 3'!E106,"-")</f>
        <v>-</v>
      </c>
      <c r="C200" s="69" t="str">
        <f>IF('AV 3'!F106="Não",'AV 3'!E106,"-")</f>
        <v>-</v>
      </c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78" t="str">
        <f>IF('AV 3'!F107="Às vezes",'AV 3'!E107,"-")</f>
        <v>-</v>
      </c>
      <c r="C201" s="69" t="str">
        <f>IF('AV 3'!F107="Não",'AV 3'!E107,"-")</f>
        <v>-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78" t="str">
        <f>IF('AV 3'!F108="Às vezes",'AV 3'!E108,"-")</f>
        <v>-</v>
      </c>
      <c r="C202" s="69" t="str">
        <f>IF('AV 3'!F108="Não",'AV 3'!E108,"-")</f>
        <v>-</v>
      </c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78" t="str">
        <f>IF('AV 3'!F109="Às vezes",'AV 3'!E109,"-")</f>
        <v>-</v>
      </c>
      <c r="C203" s="69" t="str">
        <f>IF('AV 3'!F109="Não",'AV 3'!E109,"-")</f>
        <v>-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78" t="str">
        <f>IF('AV 3'!F110="Às vezes",'AV 3'!E110,"-")</f>
        <v>-</v>
      </c>
      <c r="C204" s="69" t="str">
        <f>IF('AV 3'!F110="Não",'AV 3'!E110,"-")</f>
        <v>-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78" t="str">
        <f>IF('AV 3'!F111="Às vezes",'AV 3'!E111,"-")</f>
        <v>-</v>
      </c>
      <c r="C205" s="69" t="str">
        <f>IF('AV 3'!F111="Não",'AV 3'!E111,"-")</f>
        <v>-</v>
      </c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78" t="str">
        <f>IF('AV 3'!F112="Às vezes",'AV 3'!E112,"-")</f>
        <v>-</v>
      </c>
      <c r="C206" s="69" t="str">
        <f>IF('AV 3'!F112="Não",'AV 3'!E112,"-")</f>
        <v>-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78" t="str">
        <f>IF('AV 3'!F113="Às vezes",'AV 3'!E113,"-")</f>
        <v>-</v>
      </c>
      <c r="C207" s="69" t="str">
        <f>IF('AV 3'!F113="Não",'AV 3'!E113,"-")</f>
        <v>-</v>
      </c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78" t="str">
        <f>IF('AV 3'!F114="Às vezes",'AV 3'!E114,"-")</f>
        <v>-</v>
      </c>
      <c r="C208" s="69" t="str">
        <f>IF('AV 3'!F114="Não",'AV 3'!E114,"-")</f>
        <v>-</v>
      </c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78" t="str">
        <f>IF('AV 3'!F115="Às vezes",'AV 3'!E115,"-")</f>
        <v>-</v>
      </c>
      <c r="C209" s="69" t="str">
        <f>IF('AV 3'!F115="Não",'AV 3'!E115,"-")</f>
        <v>-</v>
      </c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78" t="str">
        <f>IF('AV 3'!F116="Às vezes",'AV 3'!E116,"-")</f>
        <v>-</v>
      </c>
      <c r="C210" s="69" t="str">
        <f>IF('AV 3'!F116="Não",'AV 3'!E116,"-")</f>
        <v>-</v>
      </c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78" t="str">
        <f>IF('AV 3'!F117="Às vezes",'AV 3'!E117,"-")</f>
        <v>-</v>
      </c>
      <c r="C211" s="69" t="str">
        <f>IF('AV 3'!F117="Não",'AV 3'!E117,"-")</f>
        <v>-</v>
      </c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78" t="str">
        <f>IF('AV 3'!F118="Às vezes",'AV 3'!E118,"-")</f>
        <v>-</v>
      </c>
      <c r="C212" s="69" t="str">
        <f>IF('AV 3'!F118="Não",'AV 3'!E118,"-")</f>
        <v>-</v>
      </c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78" t="str">
        <f>IF('AV 3'!F119="Às vezes",'AV 3'!E119,"-")</f>
        <v>-</v>
      </c>
      <c r="C213" s="69" t="str">
        <f>IF('AV 3'!F119="Não",'AV 3'!E119,"-")</f>
        <v>-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78" t="str">
        <f>IF('AV 3'!F120="Às vezes",'AV 3'!E120,"-")</f>
        <v>-</v>
      </c>
      <c r="C214" s="69" t="str">
        <f>IF('AV 3'!F120="Não",'AV 3'!E120,"-")</f>
        <v>-</v>
      </c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78" t="str">
        <f>IF('AV 3'!F121="Às vezes",'AV 3'!E121,"-")</f>
        <v>-</v>
      </c>
      <c r="C215" s="69" t="str">
        <f>IF('AV 3'!F121="Não",'AV 3'!E121,"-")</f>
        <v>-</v>
      </c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79" t="s">
        <v>11</v>
      </c>
      <c r="C216" s="79" t="s">
        <v>11</v>
      </c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80" t="str">
        <f>IF('AV 3'!I13="Às vezes",'AV 3'!H13,"-")</f>
        <v>-</v>
      </c>
      <c r="C217" s="69" t="str">
        <f>IF('AV 3'!I13="Não",'AV 3'!H13,"-")</f>
        <v>-</v>
      </c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80" t="str">
        <f>IF('AV 3'!I14="Às vezes",'AV 3'!H14,"-")</f>
        <v>-</v>
      </c>
      <c r="C218" s="69" t="str">
        <f>IF('AV 3'!I14="Não",'AV 3'!H14,"-")</f>
        <v>-</v>
      </c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80" t="str">
        <f>IF('AV 3'!I15="Às vezes",'AV 3'!H15,"-")</f>
        <v>-</v>
      </c>
      <c r="C219" s="69" t="str">
        <f>IF('AV 3'!I15="Não",'AV 3'!H15,"-")</f>
        <v>-</v>
      </c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80" t="str">
        <f>IF('AV 3'!I16="Às vezes",'AV 3'!H16,"-")</f>
        <v>-</v>
      </c>
      <c r="C220" s="69" t="str">
        <f>IF('AV 3'!I16="Não",'AV 3'!H16,"-")</f>
        <v>-</v>
      </c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80" t="str">
        <f>IF('AV 3'!I17="Às vezes",'AV 3'!H17,"-")</f>
        <v>-</v>
      </c>
      <c r="C221" s="69" t="str">
        <f>IF('AV 3'!I17="Não",'AV 3'!H17,"-")</f>
        <v>-</v>
      </c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80" t="str">
        <f>IF('AV 3'!I18="Às vezes",'AV 3'!H18,"-")</f>
        <v>-</v>
      </c>
      <c r="C222" s="69" t="str">
        <f>IF('AV 3'!I18="Não",'AV 3'!H18,"-")</f>
        <v>-</v>
      </c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80" t="str">
        <f>IF('AV 3'!I19="Às vezes",'AV 3'!H19,"-")</f>
        <v>-</v>
      </c>
      <c r="C223" s="69" t="str">
        <f>IF('AV 3'!I19="Não",'AV 3'!H19,"-")</f>
        <v>-</v>
      </c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80" t="str">
        <f>IF('AV 3'!I20="Às vezes",'AV 3'!H20,"-")</f>
        <v>-</v>
      </c>
      <c r="C224" s="69" t="str">
        <f>IF('AV 3'!I20="Não",'AV 3'!H20,"-")</f>
        <v>-</v>
      </c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80" t="str">
        <f>IF('AV 3'!I21="Às vezes",'AV 3'!H21,"-")</f>
        <v>-</v>
      </c>
      <c r="C225" s="69" t="str">
        <f>IF('AV 3'!I21="Não",'AV 3'!H21,"-")</f>
        <v>-</v>
      </c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80" t="str">
        <f>IF('AV 3'!I22="Às vezes",'AV 3'!H22,"-")</f>
        <v>-</v>
      </c>
      <c r="C226" s="69" t="str">
        <f>IF('AV 3'!I22="Não",'AV 3'!H22,"-")</f>
        <v>-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80" t="str">
        <f>IF('AV 3'!I23="Às vezes",'AV 3'!H23,"-")</f>
        <v>-</v>
      </c>
      <c r="C227" s="69" t="str">
        <f>IF('AV 3'!I23="Não",'AV 3'!H23,"-")</f>
        <v>-</v>
      </c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75" customHeight="1">
      <c r="A228" s="1"/>
      <c r="B228" s="80" t="str">
        <f>IF('AV 3'!I24="Às vezes",'AV 3'!H24,"-")</f>
        <v>-</v>
      </c>
      <c r="C228" s="69" t="str">
        <f>IF('AV 3'!I24="Não",'AV 3'!H24,"-")</f>
        <v>-</v>
      </c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80" t="str">
        <f>IF('AV 3'!I25="Às vezes",'AV 3'!H25,"-")</f>
        <v>-</v>
      </c>
      <c r="C229" s="69" t="str">
        <f>IF('AV 3'!I25="Não",'AV 3'!H25,"-")</f>
        <v>-</v>
      </c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80" t="str">
        <f>IF('AV 3'!I26="Às vezes",'AV 3'!H26,"-")</f>
        <v>-</v>
      </c>
      <c r="C230" s="69" t="str">
        <f>IF('AV 3'!I26="Não",'AV 3'!H26,"-")</f>
        <v>-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80" t="str">
        <f>IF('AV 3'!I27="Às vezes",'AV 3'!H27,"-")</f>
        <v>-</v>
      </c>
      <c r="C231" s="69" t="str">
        <f>IF('AV 3'!I27="Não",'AV 3'!H27,"-")</f>
        <v>-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80" t="str">
        <f>IF('AV 3'!I28="Às vezes",'AV 3'!H28,"-")</f>
        <v>-</v>
      </c>
      <c r="C232" s="69" t="str">
        <f>IF('AV 3'!I28="Não",'AV 3'!H28,"-")</f>
        <v>-</v>
      </c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80" t="str">
        <f>IF('AV 3'!I29="Às vezes",'AV 3'!H29,"-")</f>
        <v>-</v>
      </c>
      <c r="C233" s="69" t="str">
        <f>IF('AV 3'!I29="Não",'AV 3'!H29,"-")</f>
        <v>-</v>
      </c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80" t="str">
        <f>IF('AV 3'!I30="Às vezes",'AV 3'!H30,"-")</f>
        <v>-</v>
      </c>
      <c r="C234" s="69" t="str">
        <f>IF('AV 3'!I30="Não",'AV 3'!H30,"-")</f>
        <v>-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80" t="str">
        <f>IF('AV 3'!I31="Às vezes",'AV 3'!H31,"-")</f>
        <v>-</v>
      </c>
      <c r="C235" s="69" t="str">
        <f>IF('AV 3'!I31="Não",'AV 3'!H31,"-")</f>
        <v>-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80" t="str">
        <f>IF('AV 3'!I32="Às vezes",'AV 3'!H32,"-")</f>
        <v>-</v>
      </c>
      <c r="C236" s="69" t="str">
        <f>IF('AV 3'!I32="Não",'AV 3'!H32,"-")</f>
        <v>-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80" t="str">
        <f>IF('AV 3'!I33="Às vezes",'AV 3'!H33,"-")</f>
        <v>-</v>
      </c>
      <c r="C237" s="69" t="str">
        <f>IF('AV 3'!I33="Não",'AV 3'!H33,"-")</f>
        <v>-</v>
      </c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80" t="str">
        <f>IF('AV 3'!I34="Às vezes",'AV 3'!H34,"-")</f>
        <v>-</v>
      </c>
      <c r="C238" s="69" t="str">
        <f>IF('AV 3'!I34="Não",'AV 3'!H34,"-")</f>
        <v>-</v>
      </c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80" t="str">
        <f>IF('AV 3'!I35="Às vezes",'AV 3'!H35,"-")</f>
        <v>-</v>
      </c>
      <c r="C239" s="69" t="str">
        <f>IF('AV 3'!I35="Não",'AV 3'!H35,"-")</f>
        <v>-</v>
      </c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80" t="str">
        <f>IF('AV 3'!I36="Às vezes",'AV 3'!H36,"-")</f>
        <v>-</v>
      </c>
      <c r="C240" s="69" t="str">
        <f>IF('AV 3'!I36="Não",'AV 3'!H36,"-")</f>
        <v>-</v>
      </c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80" t="str">
        <f>IF('AV 3'!I37="Às vezes",'AV 3'!H37,"-")</f>
        <v>-</v>
      </c>
      <c r="C241" s="69" t="str">
        <f>IF('AV 3'!I37="Não",'AV 3'!H37,"-")</f>
        <v>-</v>
      </c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80" t="str">
        <f>IF('AV 3'!I38="Às vezes",'AV 3'!H38,"-")</f>
        <v>-</v>
      </c>
      <c r="C242" s="69" t="str">
        <f>IF('AV 3'!I38="Não",'AV 3'!H38,"-")</f>
        <v>-</v>
      </c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80" t="str">
        <f>IF('AV 3'!I39="Às vezes",'AV 3'!H39,"-")</f>
        <v>-</v>
      </c>
      <c r="C243" s="69" t="str">
        <f>IF('AV 3'!I39="Não",'AV 3'!H39,"-")</f>
        <v>-</v>
      </c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80" t="str">
        <f>IF('AV 3'!I40="Às vezes",'AV 3'!H40,"-")</f>
        <v>-</v>
      </c>
      <c r="C244" s="69" t="str">
        <f>IF('AV 3'!I40="Não",'AV 3'!H40,"-")</f>
        <v>-</v>
      </c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80" t="str">
        <f>IF('AV 3'!I41="Às vezes",'AV 3'!H41,"-")</f>
        <v>-</v>
      </c>
      <c r="C245" s="69" t="str">
        <f>IF('AV 3'!I41="Não",'AV 3'!H41,"-")</f>
        <v>-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80" t="str">
        <f>IF('AV 3'!I42="Às vezes",'AV 3'!H42,"-")</f>
        <v>-</v>
      </c>
      <c r="C246" s="69" t="str">
        <f>IF('AV 3'!I42="Não",'AV 3'!H42,"-")</f>
        <v>-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80" t="str">
        <f>IF('AV 3'!I43="Às vezes",'AV 3'!H43,"-")</f>
        <v>-</v>
      </c>
      <c r="C247" s="69" t="str">
        <f>IF('AV 3'!I43="Não",'AV 3'!H43,"-")</f>
        <v>-</v>
      </c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80" t="str">
        <f>IF('AV 3'!I44="Às vezes",'AV 3'!H44,"-")</f>
        <v>-</v>
      </c>
      <c r="C248" s="69" t="str">
        <f>IF('AV 3'!I44="Não",'AV 3'!H44,"-")</f>
        <v>-</v>
      </c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80" t="str">
        <f>IF('AV 3'!I45="Às vezes",'AV 3'!H45,"-")</f>
        <v>-</v>
      </c>
      <c r="C249" s="69" t="str">
        <f>IF('AV 3'!I45="Não",'AV 3'!H45,"-")</f>
        <v>-</v>
      </c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80" t="str">
        <f>IF('AV 3'!I46="Às vezes",'AV 3'!H46,"-")</f>
        <v>-</v>
      </c>
      <c r="C250" s="69" t="str">
        <f>IF('AV 3'!I46="Não",'AV 3'!H46,"-")</f>
        <v>-</v>
      </c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80" t="str">
        <f>IF('AV 3'!I47="Às vezes",'AV 3'!H47,"-")</f>
        <v>-</v>
      </c>
      <c r="C251" s="69" t="str">
        <f>IF('AV 3'!I47="Não",'AV 3'!H47,"-")</f>
        <v>-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80" t="str">
        <f>IF('AV 3'!I48="Às vezes",'AV 3'!H48,"-")</f>
        <v>-</v>
      </c>
      <c r="C252" s="69" t="str">
        <f>IF('AV 3'!I48="Não",'AV 3'!H48,"-")</f>
        <v>-</v>
      </c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80" t="str">
        <f>IF('AV 3'!I49="Às vezes",'AV 3'!H49,"-")</f>
        <v>-</v>
      </c>
      <c r="C253" s="69" t="str">
        <f>IF('AV 3'!I49="Não",'AV 3'!H49,"-")</f>
        <v>-</v>
      </c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80" t="str">
        <f>IF('AV 3'!I50="Às vezes",'AV 3'!H50,"-")</f>
        <v>-</v>
      </c>
      <c r="C254" s="69" t="str">
        <f>IF('AV 3'!I50="Não",'AV 3'!H50,"-")</f>
        <v>-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80" t="str">
        <f>IF('AV 3'!I51="Às vezes",'AV 3'!H51,"-")</f>
        <v>-</v>
      </c>
      <c r="C255" s="69" t="str">
        <f>IF('AV 3'!I51="Não",'AV 3'!H51,"-")</f>
        <v>-</v>
      </c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80" t="str">
        <f>IF('AV 3'!I52="Às vezes",'AV 3'!H52,"-")</f>
        <v>-</v>
      </c>
      <c r="C256" s="69" t="str">
        <f>IF('AV 3'!I52="Não",'AV 3'!H52,"-")</f>
        <v>-</v>
      </c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80" t="str">
        <f>IF('AV 3'!I53="Às vezes",'AV 3'!H53,"-")</f>
        <v>-</v>
      </c>
      <c r="C257" s="69" t="str">
        <f>IF('AV 3'!I53="Não",'AV 3'!H53,"-")</f>
        <v>-</v>
      </c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80" t="str">
        <f>IF('AV 3'!I54="Às vezes",'AV 3'!H54,"-")</f>
        <v>-</v>
      </c>
      <c r="C258" s="69" t="str">
        <f>IF('AV 3'!I54="Não",'AV 3'!H54,"-")</f>
        <v>-</v>
      </c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80" t="str">
        <f>IF('AV 3'!I55="Às vezes",'AV 3'!H55,"-")</f>
        <v>-</v>
      </c>
      <c r="C259" s="69" t="str">
        <f>IF('AV 3'!I55="Não",'AV 3'!H55,"-")</f>
        <v>-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80" t="str">
        <f>IF('AV 3'!I56="Às vezes",'AV 3'!H56,"-")</f>
        <v>-</v>
      </c>
      <c r="C260" s="69" t="str">
        <f>IF('AV 3'!I56="Não",'AV 3'!H56,"-")</f>
        <v>-</v>
      </c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80" t="str">
        <f>IF('AV 3'!I57="Às vezes",'AV 3'!H57,"-")</f>
        <v>-</v>
      </c>
      <c r="C261" s="69" t="str">
        <f>IF('AV 3'!I57="Não",'AV 3'!H57,"-")</f>
        <v>-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80" t="str">
        <f>IF('AV 3'!I58="Às vezes",'AV 3'!H58,"-")</f>
        <v>-</v>
      </c>
      <c r="C262" s="69" t="str">
        <f>IF('AV 3'!I58="Não",'AV 3'!H58,"-")</f>
        <v>-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80" t="str">
        <f>IF('AV 3'!I59="Às vezes",'AV 3'!H59,"-")</f>
        <v>-</v>
      </c>
      <c r="C263" s="69" t="str">
        <f>IF('AV 3'!I59="Não",'AV 3'!H59,"-")</f>
        <v>-</v>
      </c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80" t="str">
        <f>IF('AV 3'!I60="Às vezes",'AV 3'!H60,"-")</f>
        <v>-</v>
      </c>
      <c r="C264" s="69" t="str">
        <f>IF('AV 3'!I60="Não",'AV 3'!H60,"-")</f>
        <v>-</v>
      </c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80" t="str">
        <f>IF('AV 3'!I61="Às vezes",'AV 3'!H61,"-")</f>
        <v>-</v>
      </c>
      <c r="C265" s="69" t="str">
        <f>IF('AV 3'!I61="Não",'AV 3'!H61,"-")</f>
        <v>-</v>
      </c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80" t="str">
        <f>IF('AV 3'!I62="Às vezes",'AV 3'!H62,"-")</f>
        <v>-</v>
      </c>
      <c r="C266" s="69" t="str">
        <f>IF('AV 3'!I62="Não",'AV 3'!H62,"-")</f>
        <v>-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80" t="str">
        <f>IF('AV 3'!I63="Às vezes",'AV 3'!H63,"-")</f>
        <v>-</v>
      </c>
      <c r="C267" s="69" t="str">
        <f>IF('AV 3'!I63="Não",'AV 3'!H63,"-")</f>
        <v>-</v>
      </c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80" t="str">
        <f>IF('AV 3'!I64="Às vezes",'AV 3'!H64,"-")</f>
        <v>-</v>
      </c>
      <c r="C268" s="69" t="str">
        <f>IF('AV 3'!I64="Não",'AV 3'!H64,"-")</f>
        <v>-</v>
      </c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80" t="str">
        <f>IF('AV 3'!I65="Às vezes",'AV 3'!H65,"-")</f>
        <v>-</v>
      </c>
      <c r="C269" s="69" t="str">
        <f>IF('AV 3'!I65="Não",'AV 3'!H65,"-")</f>
        <v>-</v>
      </c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80" t="str">
        <f>IF('AV 3'!I66="Às vezes",'AV 3'!H66,"-")</f>
        <v>-</v>
      </c>
      <c r="C270" s="69" t="str">
        <f>IF('AV 3'!I66="Não",'AV 3'!H66,"-")</f>
        <v>-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80" t="str">
        <f>IF('AV 3'!I67="Às vezes",'AV 3'!H67,"-")</f>
        <v>-</v>
      </c>
      <c r="C271" s="69" t="str">
        <f>IF('AV 3'!I67="Não",'AV 3'!H67,"-")</f>
        <v>-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80" t="str">
        <f>IF('AV 3'!I68="Às vezes",'AV 3'!H68,"-")</f>
        <v>-</v>
      </c>
      <c r="C272" s="69" t="str">
        <f>IF('AV 3'!I68="Não",'AV 3'!H68,"-")</f>
        <v>-</v>
      </c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80" t="str">
        <f>IF('AV 3'!I69="Às vezes",'AV 3'!H69,"-")</f>
        <v>-</v>
      </c>
      <c r="C273" s="69" t="str">
        <f>IF('AV 3'!I69="Não",'AV 3'!H69,"-")</f>
        <v>-</v>
      </c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80" t="str">
        <f>IF('AV 3'!I70="Às vezes",'AV 3'!H70,"-")</f>
        <v>-</v>
      </c>
      <c r="C274" s="69" t="str">
        <f>IF('AV 3'!I70="Não",'AV 3'!H70,"-")</f>
        <v>-</v>
      </c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80" t="str">
        <f>IF('AV 3'!I71="Às vezes",'AV 3'!H71,"-")</f>
        <v>-</v>
      </c>
      <c r="C275" s="69" t="str">
        <f>IF('AV 3'!I71="Não",'AV 3'!H71,"-")</f>
        <v>-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80" t="str">
        <f>IF('AV 3'!I72="Às vezes",'AV 3'!H72,"-")</f>
        <v>-</v>
      </c>
      <c r="C276" s="69" t="str">
        <f>IF('AV 3'!I72="Não",'AV 3'!H72,"-")</f>
        <v>-</v>
      </c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80" t="str">
        <f>IF('AV 3'!I73="Às vezes",'AV 3'!H73,"-")</f>
        <v>-</v>
      </c>
      <c r="C277" s="69" t="str">
        <f>IF('AV 3'!I73="Não",'AV 3'!H73,"-")</f>
        <v>-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80" t="str">
        <f>IF('AV 3'!I74="Às vezes",'AV 3'!H74,"-")</f>
        <v>-</v>
      </c>
      <c r="C278" s="69" t="str">
        <f>IF('AV 3'!I74="Não",'AV 3'!H74,"-")</f>
        <v>-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80" t="str">
        <f>IF('AV 3'!I75="Às vezes",'AV 3'!H75,"-")</f>
        <v>-</v>
      </c>
      <c r="C279" s="69" t="str">
        <f>IF('AV 3'!I75="Não",'AV 3'!H75,"-")</f>
        <v>-</v>
      </c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80" t="str">
        <f>IF('AV 3'!I76="Às vezes",'AV 3'!H76,"-")</f>
        <v>-</v>
      </c>
      <c r="C280" s="69" t="str">
        <f>IF('AV 3'!I76="Não",'AV 3'!H76,"-")</f>
        <v>-</v>
      </c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80" t="str">
        <f>IF('AV 3'!I77="Às vezes",'AV 3'!H77,"-")</f>
        <v>-</v>
      </c>
      <c r="C281" s="69" t="str">
        <f>IF('AV 3'!I77="Não",'AV 3'!H77,"-")</f>
        <v>-</v>
      </c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80" t="str">
        <f>IF('AV 3'!I78="Às vezes",'AV 3'!H78,"-")</f>
        <v>-</v>
      </c>
      <c r="C282" s="69" t="str">
        <f>IF('AV 3'!I78="Não",'AV 3'!H78,"-")</f>
        <v>-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80" t="str">
        <f>IF('AV 3'!I79="Às vezes",'AV 3'!H79,"-")</f>
        <v>-</v>
      </c>
      <c r="C283" s="69" t="str">
        <f>IF('AV 3'!I79="Não",'AV 3'!H79,"-")</f>
        <v>-</v>
      </c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80" t="str">
        <f>IF('AV 3'!I80="Às vezes",'AV 3'!H80,"-")</f>
        <v>-</v>
      </c>
      <c r="C284" s="69" t="str">
        <f>IF('AV 3'!I80="Não",'AV 3'!H80,"-")</f>
        <v>-</v>
      </c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80" t="str">
        <f>IF('AV 3'!I81="Às vezes",'AV 3'!H81,"-")</f>
        <v>-</v>
      </c>
      <c r="C285" s="69" t="str">
        <f>IF('AV 3'!I81="Não",'AV 3'!H81,"-")</f>
        <v>-</v>
      </c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80" t="str">
        <f>IF('AV 3'!I82="Às vezes",'AV 3'!H82,"-")</f>
        <v>-</v>
      </c>
      <c r="C286" s="69" t="str">
        <f>IF('AV 3'!I82="Não",'AV 3'!H82,"-")</f>
        <v>-</v>
      </c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80" t="str">
        <f>IF('AV 3'!I83="Às vezes",'AV 3'!H83,"-")</f>
        <v>-</v>
      </c>
      <c r="C287" s="69" t="str">
        <f>IF('AV 3'!I83="Não",'AV 3'!H83,"-")</f>
        <v>-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80" t="str">
        <f>IF('AV 3'!I84="Às vezes",'AV 3'!H84,"-")</f>
        <v>-</v>
      </c>
      <c r="C288" s="69" t="str">
        <f>IF('AV 3'!I84="Não",'AV 3'!H84,"-")</f>
        <v>-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80" t="str">
        <f>IF('AV 3'!I85="Às vezes",'AV 3'!H85,"-")</f>
        <v>-</v>
      </c>
      <c r="C289" s="69" t="str">
        <f>IF('AV 3'!I85="Não",'AV 3'!H85,"-")</f>
        <v>-</v>
      </c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80" t="str">
        <f>IF('AV 3'!I86="Às vezes",'AV 3'!H86,"-")</f>
        <v>-</v>
      </c>
      <c r="C290" s="69" t="str">
        <f>IF('AV 3'!I86="Não",'AV 3'!H86,"-")</f>
        <v>-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80" t="str">
        <f>IF('AV 3'!I87="Às vezes",'AV 3'!H87,"-")</f>
        <v>-</v>
      </c>
      <c r="C291" s="69" t="str">
        <f>IF('AV 3'!I87="Não",'AV 3'!H87,"-")</f>
        <v>-</v>
      </c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80" t="str">
        <f>IF('AV 3'!I88="Às vezes",'AV 3'!H88,"-")</f>
        <v>-</v>
      </c>
      <c r="C292" s="69" t="str">
        <f>IF('AV 3'!I88="Não",'AV 3'!H88,"-")</f>
        <v>-</v>
      </c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80" t="str">
        <f>IF('AV 3'!I89="Às vezes",'AV 3'!H89,"-")</f>
        <v>-</v>
      </c>
      <c r="C293" s="69" t="str">
        <f>IF('AV 3'!I89="Não",'AV 3'!H89,"-")</f>
        <v>-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80" t="str">
        <f>IF('AV 3'!I90="Às vezes",'AV 3'!H90,"-")</f>
        <v>-</v>
      </c>
      <c r="C294" s="69" t="str">
        <f>IF('AV 3'!I90="Não",'AV 3'!H90,"-")</f>
        <v>-</v>
      </c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80" t="str">
        <f>IF('AV 3'!I91="Às vezes",'AV 3'!H91,"-")</f>
        <v>-</v>
      </c>
      <c r="C295" s="69" t="str">
        <f>IF('AV 3'!I91="Não",'AV 3'!H91,"-")</f>
        <v>-</v>
      </c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80" t="str">
        <f>IF('AV 3'!I92="Às vezes",'AV 3'!H92,"-")</f>
        <v>-</v>
      </c>
      <c r="C296" s="69" t="str">
        <f>IF('AV 3'!I92="Não",'AV 3'!H92,"-")</f>
        <v>-</v>
      </c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80" t="str">
        <f>IF('AV 3'!I93="Às vezes",'AV 3'!H93,"-")</f>
        <v>-</v>
      </c>
      <c r="C297" s="69" t="str">
        <f>IF('AV 3'!I93="Não",'AV 3'!H93,"-")</f>
        <v>-</v>
      </c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80" t="str">
        <f>IF('AV 3'!I94="Às vezes",'AV 3'!H94,"-")</f>
        <v>-</v>
      </c>
      <c r="C298" s="69" t="str">
        <f>IF('AV 3'!I94="Não",'AV 3'!H94,"-")</f>
        <v>-</v>
      </c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80" t="str">
        <f>IF('AV 3'!I95="Às vezes",'AV 3'!H95,"-")</f>
        <v>-</v>
      </c>
      <c r="C299" s="69" t="str">
        <f>IF('AV 3'!I95="Não",'AV 3'!H95,"-")</f>
        <v>-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80" t="str">
        <f>IF('AV 3'!I96="Às vezes",'AV 3'!H96,"-")</f>
        <v>-</v>
      </c>
      <c r="C300" s="69" t="str">
        <f>IF('AV 3'!I96="Não",'AV 3'!H96,"-")</f>
        <v>-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80" t="str">
        <f>IF('AV 3'!I97="Às vezes",'AV 3'!H97,"-")</f>
        <v>-</v>
      </c>
      <c r="C301" s="69" t="str">
        <f>IF('AV 3'!I97="Não",'AV 3'!H97,"-")</f>
        <v>-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80" t="str">
        <f>IF('AV 3'!I98="Às vezes",'AV 3'!H98,"-")</f>
        <v>-</v>
      </c>
      <c r="C302" s="69" t="str">
        <f>IF('AV 3'!I98="Não",'AV 3'!H98,"-")</f>
        <v>-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80" t="str">
        <f>IF('AV 3'!I99="Às vezes",'AV 3'!H99,"-")</f>
        <v>-</v>
      </c>
      <c r="C303" s="69" t="str">
        <f>IF('AV 3'!I99="Não",'AV 3'!H99,"-")</f>
        <v>-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80" t="str">
        <f>IF('AV 3'!I100="Às vezes",'AV 3'!H100,"-")</f>
        <v>-</v>
      </c>
      <c r="C304" s="69" t="str">
        <f>IF('AV 3'!I100="Não",'AV 3'!H100,"-")</f>
        <v>-</v>
      </c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80" t="str">
        <f>IF('AV 3'!I101="Às vezes",'AV 3'!H101,"-")</f>
        <v>-</v>
      </c>
      <c r="C305" s="69" t="str">
        <f>IF('AV 3'!I101="Não",'AV 3'!H101,"-")</f>
        <v>-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80" t="str">
        <f>IF('AV 3'!I102="Às vezes",'AV 3'!H102,"-")</f>
        <v>-</v>
      </c>
      <c r="C306" s="69" t="str">
        <f>IF('AV 3'!I102="Não",'AV 3'!H102,"-")</f>
        <v>-</v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80" t="str">
        <f>IF('AV 3'!I103="Às vezes",'AV 3'!H103,"-")</f>
        <v>-</v>
      </c>
      <c r="C307" s="69" t="str">
        <f>IF('AV 3'!I103="Não",'AV 3'!H103,"-")</f>
        <v>-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80" t="str">
        <f>IF('AV 3'!I104="Às vezes",'AV 3'!H104,"-")</f>
        <v>-</v>
      </c>
      <c r="C308" s="69" t="str">
        <f>IF('AV 3'!I104="Não",'AV 3'!H104,"-")</f>
        <v>-</v>
      </c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80" t="str">
        <f>IF('AV 3'!I105="Às vezes",'AV 3'!H105,"-")</f>
        <v>-</v>
      </c>
      <c r="C309" s="69" t="str">
        <f>IF('AV 3'!I105="Não",'AV 3'!H105,"-")</f>
        <v>-</v>
      </c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80" t="str">
        <f>IF('AV 3'!I106="Às vezes",'AV 3'!H106,"-")</f>
        <v>-</v>
      </c>
      <c r="C310" s="69" t="str">
        <f>IF('AV 3'!I106="Não",'AV 3'!H106,"-")</f>
        <v>-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80" t="str">
        <f>IF('AV 3'!I107="Às vezes",'AV 3'!H107,"-")</f>
        <v>-</v>
      </c>
      <c r="C311" s="69" t="str">
        <f>IF('AV 3'!I107="Não",'AV 3'!H107,"-")</f>
        <v>-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80" t="str">
        <f>IF('AV 3'!I108="Às vezes",'AV 3'!H108,"-")</f>
        <v>-</v>
      </c>
      <c r="C312" s="69" t="str">
        <f>IF('AV 3'!I108="Não",'AV 3'!H108,"-")</f>
        <v>-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80" t="str">
        <f>IF('AV 3'!I109="Às vezes",'AV 3'!H109,"-")</f>
        <v>-</v>
      </c>
      <c r="C313" s="69" t="str">
        <f>IF('AV 3'!I109="Não",'AV 3'!H109,"-")</f>
        <v>-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80" t="str">
        <f>IF('AV 3'!I110="Às vezes",'AV 3'!H110,"-")</f>
        <v>-</v>
      </c>
      <c r="C314" s="69" t="str">
        <f>IF('AV 3'!I110="Não",'AV 3'!H110,"-")</f>
        <v>-</v>
      </c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80" t="str">
        <f>IF('AV 3'!I111="Às vezes",'AV 3'!H111,"-")</f>
        <v>-</v>
      </c>
      <c r="C315" s="69" t="str">
        <f>IF('AV 3'!I111="Não",'AV 3'!H111,"-")</f>
        <v>-</v>
      </c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80" t="str">
        <f>IF('AV 3'!I112="Às vezes",'AV 3'!H112,"-")</f>
        <v>-</v>
      </c>
      <c r="C316" s="69" t="str">
        <f>IF('AV 3'!I112="Não",'AV 3'!H112,"-")</f>
        <v>-</v>
      </c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80" t="str">
        <f>IF('AV 3'!I113="Às vezes",'AV 3'!H113,"-")</f>
        <v>-</v>
      </c>
      <c r="C317" s="69" t="str">
        <f>IF('AV 3'!I113="Não",'AV 3'!H113,"-")</f>
        <v>-</v>
      </c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80" t="str">
        <f>IF('AV 3'!I114="Às vezes",'AV 3'!H114,"-")</f>
        <v>-</v>
      </c>
      <c r="C318" s="69" t="str">
        <f>IF('AV 3'!I114="Não",'AV 3'!H114,"-")</f>
        <v>-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80" t="str">
        <f>IF('AV 3'!I115="Às vezes",'AV 3'!H115,"-")</f>
        <v>-</v>
      </c>
      <c r="C319" s="69" t="str">
        <f>IF('AV 3'!I115="Não",'AV 3'!H115,"-")</f>
        <v>-</v>
      </c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80" t="str">
        <f>IF('AV 3'!I116="Às vezes",'AV 3'!H116,"-")</f>
        <v>-</v>
      </c>
      <c r="C320" s="69" t="str">
        <f>IF('AV 3'!I116="Não",'AV 3'!H116,"-")</f>
        <v>-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80" t="str">
        <f>IF('AV 3'!I117="Às vezes",'AV 3'!H117,"-")</f>
        <v>-</v>
      </c>
      <c r="C321" s="69" t="str">
        <f>IF('AV 3'!I117="Não",'AV 3'!H117,"-")</f>
        <v>-</v>
      </c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80" t="str">
        <f>IF('AV 3'!I118="Às vezes",'AV 3'!H118,"-")</f>
        <v>-</v>
      </c>
      <c r="C322" s="69" t="str">
        <f>IF('AV 3'!I118="Não",'AV 3'!H118,"-")</f>
        <v>-</v>
      </c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80" t="str">
        <f>IF('AV 3'!I119="Às vezes",'AV 3'!H119,"-")</f>
        <v>-</v>
      </c>
      <c r="C323" s="69" t="str">
        <f>IF('AV 3'!I119="Não",'AV 3'!H119,"-")</f>
        <v>-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80" t="str">
        <f>IF('AV 3'!I120="Às vezes",'AV 3'!H120,"-")</f>
        <v>-</v>
      </c>
      <c r="C324" s="69" t="str">
        <f>IF('AV 3'!I120="Não",'AV 3'!H120,"-")</f>
        <v>-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80" t="str">
        <f>IF('AV 3'!I121="Às vezes",'AV 3'!H121,"-")</f>
        <v>-</v>
      </c>
      <c r="C325" s="69" t="str">
        <f>IF('AV 3'!I121="Não",'AV 3'!H121,"-")</f>
        <v>-</v>
      </c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80" t="str">
        <f>IF('AV 3'!I122="Às vezes",'AV 3'!H122,"-")</f>
        <v>-</v>
      </c>
      <c r="C326" s="69" t="str">
        <f>IF('AV 3'!I122="Não",'AV 3'!H122,"-")</f>
        <v>-</v>
      </c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80" t="str">
        <f>IF('AV 3'!I123="Às vezes",'AV 3'!H123,"-")</f>
        <v>-</v>
      </c>
      <c r="C327" s="69" t="str">
        <f>IF('AV 3'!I123="Não",'AV 3'!H123,"-")</f>
        <v>-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80" t="str">
        <f>IF('AV 3'!I124="Às vezes",'AV 3'!H124,"-")</f>
        <v>-</v>
      </c>
      <c r="C328" s="69" t="str">
        <f>IF('AV 3'!I124="Não",'AV 3'!H124,"-")</f>
        <v>-</v>
      </c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80" t="str">
        <f>IF('AV 3'!I125="Às vezes",'AV 3'!H125,"-")</f>
        <v>-</v>
      </c>
      <c r="C329" s="69" t="str">
        <f>IF('AV 3'!I125="Não",'AV 3'!H125,"-")</f>
        <v>-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80" t="str">
        <f>IF('AV 3'!I126="Às vezes",'AV 3'!H126,"-")</f>
        <v>-</v>
      </c>
      <c r="C330" s="69" t="str">
        <f>IF('AV 3'!I126="Não",'AV 3'!H126,"-")</f>
        <v>-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80" t="str">
        <f>IF('AV 3'!I127="Às vezes",'AV 3'!H127,"-")</f>
        <v>-</v>
      </c>
      <c r="C331" s="69" t="str">
        <f>IF('AV 3'!I127="Não",'AV 3'!H127,"-")</f>
        <v>-</v>
      </c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80" t="str">
        <f>IF('AV 3'!I128="Às vezes",'AV 3'!H128,"-")</f>
        <v>-</v>
      </c>
      <c r="C332" s="69" t="str">
        <f>IF('AV 3'!I128="Não",'AV 3'!H128,"-")</f>
        <v>-</v>
      </c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80" t="str">
        <f>IF('AV 3'!I129="Às vezes",'AV 3'!H129,"-")</f>
        <v>-</v>
      </c>
      <c r="C333" s="69" t="str">
        <f>IF('AV 3'!I129="Não",'AV 3'!H129,"-")</f>
        <v>-</v>
      </c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80" t="str">
        <f>IF('AV 3'!I130="Às vezes",'AV 3'!H130,"-")</f>
        <v>-</v>
      </c>
      <c r="C334" s="69" t="str">
        <f>IF('AV 3'!I130="Não",'AV 3'!H130,"-")</f>
        <v>-</v>
      </c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80" t="str">
        <f>IF('AV 3'!I131="Às vezes",'AV 3'!H131,"-")</f>
        <v>-</v>
      </c>
      <c r="C335" s="69" t="str">
        <f>IF('AV 3'!I131="Não",'AV 3'!H131,"-")</f>
        <v>-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79" t="s">
        <v>12</v>
      </c>
      <c r="C336" s="79" t="s">
        <v>12</v>
      </c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80" t="str">
        <f>IF('AV 3'!L13="Às vezes",'AV 3'!K13,"-")</f>
        <v>-</v>
      </c>
      <c r="C337" s="69" t="str">
        <f>IF('AV 3'!L13="Não",'AV 3'!K13,"-")</f>
        <v>-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80" t="str">
        <f>IF('AV 3'!L14="Às vezes",'AV 3'!K14,"-")</f>
        <v>-</v>
      </c>
      <c r="C338" s="69" t="str">
        <f>IF('AV 3'!L14="Não",'AV 3'!K14,"-")</f>
        <v>-</v>
      </c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80" t="str">
        <f>IF('AV 3'!L15="Às vezes",'AV 3'!K15,"-")</f>
        <v>-</v>
      </c>
      <c r="C339" s="69" t="str">
        <f>IF('AV 3'!L15="Não",'AV 3'!K15,"-")</f>
        <v>-</v>
      </c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80" t="str">
        <f>IF('AV 3'!L16="Às vezes",'AV 3'!K16,"-")</f>
        <v>-</v>
      </c>
      <c r="C340" s="69" t="str">
        <f>IF('AV 3'!L16="Não",'AV 3'!K16,"-")</f>
        <v>-</v>
      </c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80" t="str">
        <f>IF('AV 3'!L17="Às vezes",'AV 3'!K17,"-")</f>
        <v>-</v>
      </c>
      <c r="C341" s="69" t="str">
        <f>IF('AV 3'!L17="Não",'AV 3'!K17,"-")</f>
        <v>-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80" t="str">
        <f>IF('AV 3'!L18="Às vezes",'AV 3'!K18,"-")</f>
        <v>-</v>
      </c>
      <c r="C342" s="69" t="str">
        <f>IF('AV 3'!L18="Não",'AV 3'!K18,"-")</f>
        <v>-</v>
      </c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80" t="str">
        <f>IF('AV 3'!L19="Às vezes",'AV 3'!K19,"-")</f>
        <v>-</v>
      </c>
      <c r="C343" s="69" t="str">
        <f>IF('AV 3'!L19="Não",'AV 3'!K19,"-")</f>
        <v>-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80" t="str">
        <f>IF('AV 3'!L20="Às vezes",'AV 3'!K20,"-")</f>
        <v>-</v>
      </c>
      <c r="C344" s="69" t="str">
        <f>IF('AV 3'!L20="Não",'AV 3'!K20,"-")</f>
        <v>-</v>
      </c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80" t="str">
        <f>IF('AV 3'!L21="Às vezes",'AV 3'!K21,"-")</f>
        <v>-</v>
      </c>
      <c r="C345" s="69" t="str">
        <f>IF('AV 3'!L21="Não",'AV 3'!K21,"-")</f>
        <v>-</v>
      </c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80" t="str">
        <f>IF('AV 3'!L22="Às vezes",'AV 3'!K22,"-")</f>
        <v>-</v>
      </c>
      <c r="C346" s="69" t="str">
        <f>IF('AV 3'!L22="Não",'AV 3'!K22,"-")</f>
        <v>-</v>
      </c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80" t="str">
        <f>IF('AV 3'!L23="Às vezes",'AV 3'!K23,"-")</f>
        <v>-</v>
      </c>
      <c r="C347" s="69" t="str">
        <f>IF('AV 3'!L23="Não",'AV 3'!K23,"-")</f>
        <v>-</v>
      </c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5.5" customHeight="1">
      <c r="A348" s="1"/>
      <c r="B348" s="80" t="str">
        <f>IF('AV 3'!L24="Às vezes",'AV 3'!K24,"-")</f>
        <v>-</v>
      </c>
      <c r="C348" s="69" t="str">
        <f>IF('AV 3'!L24="Não",'AV 3'!K24,"-")</f>
        <v>-</v>
      </c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80" t="str">
        <f>IF('AV 3'!L25="Às vezes",'AV 3'!K25,"-")</f>
        <v>-</v>
      </c>
      <c r="C349" s="69" t="str">
        <f>IF('AV 3'!L25="Não",'AV 3'!K25,"-")</f>
        <v>-</v>
      </c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80" t="str">
        <f>IF('AV 3'!L26="Às vezes",'AV 3'!K26,"-")</f>
        <v>-</v>
      </c>
      <c r="C350" s="69" t="str">
        <f>IF('AV 3'!L26="Não",'AV 3'!K26,"-")</f>
        <v>-</v>
      </c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80" t="str">
        <f>IF('AV 3'!L27="Às vezes",'AV 3'!K27,"-")</f>
        <v>-</v>
      </c>
      <c r="C351" s="69" t="str">
        <f>IF('AV 3'!L27="Não",'AV 3'!K27,"-")</f>
        <v>-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80" t="str">
        <f>IF('AV 3'!L28="Às vezes",'AV 3'!K28,"-")</f>
        <v>-</v>
      </c>
      <c r="C352" s="69" t="str">
        <f>IF('AV 3'!L28="Não",'AV 3'!K28,"-")</f>
        <v>-</v>
      </c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80" t="str">
        <f>IF('AV 3'!L29="Às vezes",'AV 3'!K29,"-")</f>
        <v>-</v>
      </c>
      <c r="C353" s="69" t="str">
        <f>IF('AV 3'!L29="Não",'AV 3'!K29,"-")</f>
        <v>-</v>
      </c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80" t="str">
        <f>IF('AV 3'!L30="Às vezes",'AV 3'!K30,"-")</f>
        <v>-</v>
      </c>
      <c r="C354" s="69" t="str">
        <f>IF('AV 3'!L30="Não",'AV 3'!K30,"-")</f>
        <v>-</v>
      </c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80" t="str">
        <f>IF('AV 3'!L31="Às vezes",'AV 3'!K31,"-")</f>
        <v>-</v>
      </c>
      <c r="C355" s="69" t="str">
        <f>IF('AV 3'!L31="Não",'AV 3'!K31,"-")</f>
        <v>-</v>
      </c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80" t="str">
        <f>IF('AV 3'!L32="Às vezes",'AV 3'!K32,"-")</f>
        <v>-</v>
      </c>
      <c r="C356" s="69" t="str">
        <f>IF('AV 3'!L32="Não",'AV 3'!K32,"-")</f>
        <v>-</v>
      </c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80" t="str">
        <f>IF('AV 3'!L33="Às vezes",'AV 3'!K33,"-")</f>
        <v>-</v>
      </c>
      <c r="C357" s="69" t="str">
        <f>IF('AV 3'!L33="Não",'AV 3'!K33,"-")</f>
        <v>-</v>
      </c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80" t="str">
        <f>IF('AV 3'!L34="Às vezes",'AV 3'!K34,"-")</f>
        <v>-</v>
      </c>
      <c r="C358" s="69" t="str">
        <f>IF('AV 3'!L34="Não",'AV 3'!K34,"-")</f>
        <v>-</v>
      </c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80" t="str">
        <f>IF('AV 3'!L35="Às vezes",'AV 3'!K35,"-")</f>
        <v>-</v>
      </c>
      <c r="C359" s="69" t="str">
        <f>IF('AV 3'!L35="Não",'AV 3'!K35,"-")</f>
        <v>-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80" t="str">
        <f>IF('AV 3'!L36="Às vezes",'AV 3'!K36,"-")</f>
        <v>-</v>
      </c>
      <c r="C360" s="69" t="str">
        <f>IF('AV 3'!L36="Não",'AV 3'!K36,"-")</f>
        <v>-</v>
      </c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80" t="str">
        <f>IF('AV 3'!L37="Às vezes",'AV 3'!K37,"-")</f>
        <v>-</v>
      </c>
      <c r="C361" s="69" t="str">
        <f>IF('AV 3'!L37="Não",'AV 3'!K37,"-")</f>
        <v>-</v>
      </c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80" t="str">
        <f>IF('AV 3'!L38="Às vezes",'AV 3'!K38,"-")</f>
        <v>-</v>
      </c>
      <c r="C362" s="69" t="str">
        <f>IF('AV 3'!L38="Não",'AV 3'!K38,"-")</f>
        <v>-</v>
      </c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80" t="str">
        <f>IF('AV 3'!L39="Às vezes",'AV 3'!K39,"-")</f>
        <v>-</v>
      </c>
      <c r="C363" s="69" t="str">
        <f>IF('AV 3'!L39="Não",'AV 3'!K39,"-")</f>
        <v>-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80" t="str">
        <f>IF('AV 3'!L40="Às vezes",'AV 3'!K40,"-")</f>
        <v>-</v>
      </c>
      <c r="C364" s="69" t="str">
        <f>IF('AV 3'!L40="Não",'AV 3'!K40,"-")</f>
        <v>-</v>
      </c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80" t="str">
        <f>IF('AV 3'!L41="Às vezes",'AV 3'!K41,"-")</f>
        <v>-</v>
      </c>
      <c r="C365" s="69" t="str">
        <f>IF('AV 3'!L41="Não",'AV 3'!K41,"-")</f>
        <v>-</v>
      </c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80" t="str">
        <f>IF('AV 3'!L42="Às vezes",'AV 3'!K42,"-")</f>
        <v>-</v>
      </c>
      <c r="C366" s="69" t="str">
        <f>IF('AV 3'!L42="Não",'AV 3'!K42,"-")</f>
        <v>-</v>
      </c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80" t="str">
        <f>IF('AV 3'!L43="Às vezes",'AV 3'!K43,"-")</f>
        <v>-</v>
      </c>
      <c r="C367" s="69" t="str">
        <f>IF('AV 3'!L43="Não",'AV 3'!K43,"-")</f>
        <v>-</v>
      </c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80" t="str">
        <f>IF('AV 3'!L44="Às vezes",'AV 3'!K44,"-")</f>
        <v>-</v>
      </c>
      <c r="C368" s="69" t="str">
        <f>IF('AV 3'!L44="Não",'AV 3'!K44,"-")</f>
        <v>-</v>
      </c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80" t="str">
        <f>IF('AV 3'!L45="Às vezes",'AV 3'!K45,"-")</f>
        <v>-</v>
      </c>
      <c r="C369" s="69" t="str">
        <f>IF('AV 3'!L45="Não",'AV 3'!K45,"-")</f>
        <v>-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80" t="str">
        <f>IF('AV 3'!L46="Às vezes",'AV 3'!K46,"-")</f>
        <v>-</v>
      </c>
      <c r="C370" s="69" t="str">
        <f>IF('AV 3'!L46="Não",'AV 3'!K46,"-")</f>
        <v>-</v>
      </c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80" t="str">
        <f>IF('AV 3'!L47="Às vezes",'AV 3'!K47,"-")</f>
        <v>-</v>
      </c>
      <c r="C371" s="69" t="str">
        <f>IF('AV 3'!L47="Não",'AV 3'!K47,"-")</f>
        <v>-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80" t="str">
        <f>IF('AV 3'!L48="Às vezes",'AV 3'!K48,"-")</f>
        <v>-</v>
      </c>
      <c r="C372" s="69" t="str">
        <f>IF('AV 3'!L48="Não",'AV 3'!K48,"-")</f>
        <v>-</v>
      </c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80" t="str">
        <f>IF('AV 3'!L49="Às vezes",'AV 3'!K49,"-")</f>
        <v>-</v>
      </c>
      <c r="C373" s="69" t="str">
        <f>IF('AV 3'!L49="Não",'AV 3'!K49,"-")</f>
        <v>-</v>
      </c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80" t="str">
        <f>IF('AV 3'!L50="Às vezes",'AV 3'!K50,"-")</f>
        <v>-</v>
      </c>
      <c r="C374" s="69" t="str">
        <f>IF('AV 3'!L50="Não",'AV 3'!K50,"-")</f>
        <v>-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80" t="str">
        <f>IF('AV 3'!L51="Às vezes",'AV 3'!K51,"-")</f>
        <v>-</v>
      </c>
      <c r="C375" s="69" t="str">
        <f>IF('AV 3'!L51="Não",'AV 3'!K51,"-")</f>
        <v>-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80" t="str">
        <f>IF('AV 3'!L52="Às vezes",'AV 3'!K52,"-")</f>
        <v>-</v>
      </c>
      <c r="C376" s="69" t="str">
        <f>IF('AV 3'!L52="Não",'AV 3'!K52,"-")</f>
        <v>-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80" t="str">
        <f>IF('AV 3'!L53="Às vezes",'AV 3'!K53,"-")</f>
        <v>-</v>
      </c>
      <c r="C377" s="69" t="str">
        <f>IF('AV 3'!L53="Não",'AV 3'!K53,"-")</f>
        <v>-</v>
      </c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80" t="str">
        <f>IF('AV 3'!L54="Às vezes",'AV 3'!K54,"-")</f>
        <v>-</v>
      </c>
      <c r="C378" s="69" t="str">
        <f>IF('AV 3'!L54="Não",'AV 3'!K54,"-")</f>
        <v>-</v>
      </c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80" t="str">
        <f>IF('AV 3'!L55="Às vezes",'AV 3'!K55,"-")</f>
        <v>-</v>
      </c>
      <c r="C379" s="69" t="str">
        <f>IF('AV 3'!L55="Não",'AV 3'!K55,"-")</f>
        <v>-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80" t="str">
        <f>IF('AV 3'!L56="Às vezes",'AV 3'!K56,"-")</f>
        <v>-</v>
      </c>
      <c r="C380" s="69" t="str">
        <f>IF('AV 3'!L56="Não",'AV 3'!K56,"-")</f>
        <v>-</v>
      </c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80" t="str">
        <f>IF('AV 3'!L57="Às vezes",'AV 3'!K57,"-")</f>
        <v>-</v>
      </c>
      <c r="C381" s="69" t="str">
        <f>IF('AV 3'!L57="Não",'AV 3'!K57,"-")</f>
        <v>-</v>
      </c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80" t="str">
        <f>IF('AV 3'!L58="Às vezes",'AV 3'!K58,"-")</f>
        <v>-</v>
      </c>
      <c r="C382" s="69" t="str">
        <f>IF('AV 3'!L58="Não",'AV 3'!K58,"-")</f>
        <v>-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80" t="str">
        <f>IF('AV 3'!L59="Às vezes",'AV 3'!K59,"-")</f>
        <v>-</v>
      </c>
      <c r="C383" s="69" t="str">
        <f>IF('AV 3'!L59="Não",'AV 3'!K59,"-")</f>
        <v>-</v>
      </c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80" t="str">
        <f>IF('AV 3'!L60="Às vezes",'AV 3'!K60,"-")</f>
        <v>-</v>
      </c>
      <c r="C384" s="69" t="str">
        <f>IF('AV 3'!L60="Não",'AV 3'!K60,"-")</f>
        <v>-</v>
      </c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80" t="str">
        <f>IF('AV 3'!L61="Às vezes",'AV 3'!K61,"-")</f>
        <v>-</v>
      </c>
      <c r="C385" s="69" t="str">
        <f>IF('AV 3'!L61="Não",'AV 3'!K61,"-")</f>
        <v>-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80" t="str">
        <f>IF('AV 3'!L62="Às vezes",'AV 3'!K62,"-")</f>
        <v>-</v>
      </c>
      <c r="C386" s="69" t="str">
        <f>IF('AV 3'!L62="Não",'AV 3'!K62,"-")</f>
        <v>-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80" t="str">
        <f>IF('AV 3'!L63="Às vezes",'AV 3'!K63,"-")</f>
        <v>-</v>
      </c>
      <c r="C387" s="69" t="str">
        <f>IF('AV 3'!L63="Não",'AV 3'!K63,"-")</f>
        <v>-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80" t="str">
        <f>IF('AV 3'!L64="Às vezes",'AV 3'!K64,"-")</f>
        <v>-</v>
      </c>
      <c r="C388" s="69" t="str">
        <f>IF('AV 3'!L64="Não",'AV 3'!K64,"-")</f>
        <v>-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80" t="str">
        <f>IF('AV 3'!L65="Às vezes",'AV 3'!K65,"-")</f>
        <v>-</v>
      </c>
      <c r="C389" s="69" t="str">
        <f>IF('AV 3'!L65="Não",'AV 3'!K65,"-")</f>
        <v>-</v>
      </c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80" t="str">
        <f>IF('AV 3'!L66="Às vezes",'AV 3'!K66,"-")</f>
        <v>-</v>
      </c>
      <c r="C390" s="69" t="str">
        <f>IF('AV 3'!L66="Não",'AV 3'!K66,"-")</f>
        <v>-</v>
      </c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80" t="str">
        <f>IF('AV 3'!L67="Às vezes",'AV 3'!K67,"-")</f>
        <v>-</v>
      </c>
      <c r="C391" s="69" t="str">
        <f>IF('AV 3'!L67="Não",'AV 3'!K67,"-")</f>
        <v>-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80" t="str">
        <f>IF('AV 3'!L68="Às vezes",'AV 3'!K68,"-")</f>
        <v>-</v>
      </c>
      <c r="C392" s="69" t="str">
        <f>IF('AV 3'!L68="Não",'AV 3'!K68,"-")</f>
        <v>-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80" t="str">
        <f>IF('AV 3'!L69="Às vezes",'AV 3'!K69,"-")</f>
        <v>-</v>
      </c>
      <c r="C393" s="69" t="str">
        <f>IF('AV 3'!L69="Não",'AV 3'!K69,"-")</f>
        <v>-</v>
      </c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80" t="str">
        <f>IF('AV 3'!L70="Às vezes",'AV 3'!K70,"-")</f>
        <v>-</v>
      </c>
      <c r="C394" s="69" t="str">
        <f>IF('AV 3'!L70="Não",'AV 3'!K70,"-")</f>
        <v>-</v>
      </c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80" t="str">
        <f>IF('AV 3'!L71="Às vezes",'AV 3'!K71,"-")</f>
        <v>-</v>
      </c>
      <c r="C395" s="69" t="str">
        <f>IF('AV 3'!L71="Não",'AV 3'!K71,"-")</f>
        <v>-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80" t="str">
        <f>IF('AV 3'!L72="Às vezes",'AV 3'!K72,"-")</f>
        <v>-</v>
      </c>
      <c r="C396" s="69" t="str">
        <f>IF('AV 3'!L72="Não",'AV 3'!K72,"-")</f>
        <v>-</v>
      </c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80" t="str">
        <f>IF('AV 3'!L73="Às vezes",'AV 3'!K73,"-")</f>
        <v>-</v>
      </c>
      <c r="C397" s="69" t="str">
        <f>IF('AV 3'!L73="Não",'AV 3'!K73,"-")</f>
        <v>-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80" t="str">
        <f>IF('AV 3'!L74="Às vezes",'AV 3'!K74,"-")</f>
        <v>-</v>
      </c>
      <c r="C398" s="69" t="str">
        <f>IF('AV 3'!L74="Não",'AV 3'!K74,"-")</f>
        <v>-</v>
      </c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80" t="str">
        <f>IF('AV 3'!L75="Às vezes",'AV 3'!K75,"-")</f>
        <v>-</v>
      </c>
      <c r="C399" s="69" t="str">
        <f>IF('AV 3'!L75="Não",'AV 3'!K75,"-")</f>
        <v>-</v>
      </c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80" t="str">
        <f>IF('AV 3'!L76="Às vezes",'AV 3'!K76,"-")</f>
        <v>-</v>
      </c>
      <c r="C400" s="69" t="str">
        <f>IF('AV 3'!L76="Não",'AV 3'!K76,"-")</f>
        <v>-</v>
      </c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80" t="str">
        <f>IF('AV 3'!L77="Às vezes",'AV 3'!K77,"-")</f>
        <v>-</v>
      </c>
      <c r="C401" s="69" t="str">
        <f>IF('AV 3'!L77="Não",'AV 3'!K77,"-")</f>
        <v>-</v>
      </c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80" t="str">
        <f>IF('AV 3'!L78="Às vezes",'AV 3'!K78,"-")</f>
        <v>-</v>
      </c>
      <c r="C402" s="69" t="str">
        <f>IF('AV 3'!L78="Não",'AV 3'!K78,"-")</f>
        <v>-</v>
      </c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80" t="str">
        <f>IF('AV 3'!L79="Às vezes",'AV 3'!K79,"-")</f>
        <v>-</v>
      </c>
      <c r="C403" s="69" t="str">
        <f>IF('AV 3'!L79="Não",'AV 3'!K79,"-")</f>
        <v>-</v>
      </c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80" t="str">
        <f>IF('AV 3'!L80="Às vezes",'AV 3'!K80,"-")</f>
        <v>-</v>
      </c>
      <c r="C404" s="69" t="str">
        <f>IF('AV 3'!L80="Não",'AV 3'!K80,"-")</f>
        <v>-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80" t="str">
        <f>IF('AV 3'!L81="Às vezes",'AV 3'!K81,"-")</f>
        <v>-</v>
      </c>
      <c r="C405" s="69" t="str">
        <f>IF('AV 3'!L81="Não",'AV 3'!K81,"-")</f>
        <v>-</v>
      </c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80" t="str">
        <f>IF('AV 3'!L82="Às vezes",'AV 3'!K82,"-")</f>
        <v>-</v>
      </c>
      <c r="C406" s="69" t="str">
        <f>IF('AV 3'!L82="Não",'AV 3'!K82,"-")</f>
        <v>-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80" t="str">
        <f>IF('AV 3'!L83="Às vezes",'AV 3'!K83,"-")</f>
        <v>-</v>
      </c>
      <c r="C407" s="69" t="str">
        <f>IF('AV 3'!L83="Não",'AV 3'!K83,"-")</f>
        <v>-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80" t="str">
        <f>IF('AV 3'!L84="Às vezes",'AV 3'!K84,"-")</f>
        <v>-</v>
      </c>
      <c r="C408" s="69" t="str">
        <f>IF('AV 3'!L84="Não",'AV 3'!K84,"-")</f>
        <v>-</v>
      </c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80" t="str">
        <f>IF('AV 3'!L85="Às vezes",'AV 3'!K85,"-")</f>
        <v>-</v>
      </c>
      <c r="C409" s="69" t="str">
        <f>IF('AV 3'!L85="Não",'AV 3'!K85,"-")</f>
        <v>-</v>
      </c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80" t="str">
        <f>IF('AV 3'!L86="Às vezes",'AV 3'!K86,"-")</f>
        <v>-</v>
      </c>
      <c r="C410" s="69" t="str">
        <f>IF('AV 3'!L86="Não",'AV 3'!K86,"-")</f>
        <v>-</v>
      </c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80" t="str">
        <f>IF('AV 3'!L87="Às vezes",'AV 3'!K87,"-")</f>
        <v>-</v>
      </c>
      <c r="C411" s="69" t="str">
        <f>IF('AV 3'!L87="Não",'AV 3'!K87,"-")</f>
        <v>-</v>
      </c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80" t="str">
        <f>IF('AV 3'!L88="Às vezes",'AV 3'!K88,"-")</f>
        <v>-</v>
      </c>
      <c r="C412" s="69" t="str">
        <f>IF('AV 3'!L88="Não",'AV 3'!K88,"-")</f>
        <v>-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80" t="str">
        <f>IF('AV 3'!L89="Às vezes",'AV 3'!K89,"-")</f>
        <v>-</v>
      </c>
      <c r="C413" s="69" t="str">
        <f>IF('AV 3'!L89="Não",'AV 3'!K89,"-")</f>
        <v>-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80" t="str">
        <f>IF('AV 3'!L90="Às vezes",'AV 3'!K90,"-")</f>
        <v>-</v>
      </c>
      <c r="C414" s="69" t="str">
        <f>IF('AV 3'!L90="Não",'AV 3'!K90,"-")</f>
        <v>-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80" t="str">
        <f>IF('AV 3'!L91="Às vezes",'AV 3'!K91,"-")</f>
        <v>-</v>
      </c>
      <c r="C415" s="69" t="str">
        <f>IF('AV 3'!L91="Não",'AV 3'!K91,"-")</f>
        <v>-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80" t="str">
        <f>IF('AV 3'!L92="Às vezes",'AV 3'!K92,"-")</f>
        <v>-</v>
      </c>
      <c r="C416" s="69" t="str">
        <f>IF('AV 3'!L92="Não",'AV 3'!K92,"-")</f>
        <v>-</v>
      </c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80" t="str">
        <f>IF('AV 3'!L93="Às vezes",'AV 3'!K93,"-")</f>
        <v>-</v>
      </c>
      <c r="C417" s="69" t="str">
        <f>IF('AV 3'!L93="Não",'AV 3'!K93,"-")</f>
        <v>-</v>
      </c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80" t="str">
        <f>IF('AV 3'!L94="Às vezes",'AV 3'!K94,"-")</f>
        <v>-</v>
      </c>
      <c r="C418" s="69" t="str">
        <f>IF('AV 3'!L94="Não",'AV 3'!K94,"-")</f>
        <v>-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80" t="str">
        <f>IF('AV 3'!L95="Às vezes",'AV 3'!K95,"-")</f>
        <v>-</v>
      </c>
      <c r="C419" s="69" t="str">
        <f>IF('AV 3'!L95="Não",'AV 3'!K95,"-")</f>
        <v>-</v>
      </c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80" t="str">
        <f>IF('AV 3'!L96="Às vezes",'AV 3'!K96,"-")</f>
        <v>-</v>
      </c>
      <c r="C420" s="69" t="str">
        <f>IF('AV 3'!L96="Não",'AV 3'!K96,"-")</f>
        <v>-</v>
      </c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80" t="str">
        <f>IF('AV 3'!L97="Às vezes",'AV 3'!K97,"-")</f>
        <v>-</v>
      </c>
      <c r="C421" s="69" t="str">
        <f>IF('AV 3'!L97="Não",'AV 3'!K97,"-")</f>
        <v>-</v>
      </c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80" t="str">
        <f>IF('AV 3'!L98="Às vezes",'AV 3'!K98,"-")</f>
        <v>-</v>
      </c>
      <c r="C422" s="69" t="str">
        <f>IF('AV 3'!L98="Não",'AV 3'!K98,"-")</f>
        <v>-</v>
      </c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80" t="str">
        <f>IF('AV 3'!L99="Às vezes",'AV 3'!K99,"-")</f>
        <v>-</v>
      </c>
      <c r="C423" s="69" t="str">
        <f>IF('AV 3'!L99="Não",'AV 3'!K99,"-")</f>
        <v>-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80" t="str">
        <f>IF('AV 3'!L100="Às vezes",'AV 3'!K100,"-")</f>
        <v>-</v>
      </c>
      <c r="C424" s="69" t="str">
        <f>IF('AV 3'!L100="Não",'AV 3'!K100,"-")</f>
        <v>-</v>
      </c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80" t="str">
        <f>IF('AV 3'!L101="Às vezes",'AV 3'!K101,"-")</f>
        <v>-</v>
      </c>
      <c r="C425" s="69" t="str">
        <f>IF('AV 3'!L101="Não",'AV 3'!K101,"-")</f>
        <v>-</v>
      </c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80" t="str">
        <f>IF('AV 3'!L102="Às vezes",'AV 3'!K102,"-")</f>
        <v>-</v>
      </c>
      <c r="C426" s="69" t="str">
        <f>IF('AV 3'!L102="Não",'AV 3'!K102,"-")</f>
        <v>-</v>
      </c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80" t="str">
        <f>IF('AV 3'!L103="Às vezes",'AV 3'!K103,"-")</f>
        <v>-</v>
      </c>
      <c r="C427" s="69" t="str">
        <f>IF('AV 3'!L103="Não",'AV 3'!K103,"-")</f>
        <v>-</v>
      </c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80" t="str">
        <f>IF('AV 3'!L104="Às vezes",'AV 3'!K104,"-")</f>
        <v>-</v>
      </c>
      <c r="C428" s="69" t="str">
        <f>IF('AV 3'!L104="Não",'AV 3'!K104,"-")</f>
        <v>-</v>
      </c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80" t="str">
        <f>IF('AV 3'!L105="Às vezes",'AV 3'!K105,"-")</f>
        <v>-</v>
      </c>
      <c r="C429" s="69" t="str">
        <f>IF('AV 3'!L105="Não",'AV 3'!K105,"-")</f>
        <v>-</v>
      </c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80" t="str">
        <f>IF('AV 3'!L106="Às vezes",'AV 3'!K106,"-")</f>
        <v>-</v>
      </c>
      <c r="C430" s="69" t="str">
        <f>IF('AV 3'!L106="Não",'AV 3'!K106,"-")</f>
        <v>-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80" t="str">
        <f>IF('AV 3'!L107="Às vezes",'AV 3'!K107,"-")</f>
        <v>-</v>
      </c>
      <c r="C431" s="69" t="str">
        <f>IF('AV 3'!L107="Não",'AV 3'!K107,"-")</f>
        <v>-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80" t="str">
        <f>IF('AV 3'!L108="Às vezes",'AV 3'!K108,"-")</f>
        <v>-</v>
      </c>
      <c r="C432" s="69" t="str">
        <f>IF('AV 3'!L108="Não",'AV 3'!K108,"-")</f>
        <v>-</v>
      </c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80" t="str">
        <f>IF('AV 3'!L109="Às vezes",'AV 3'!K109,"-")</f>
        <v>-</v>
      </c>
      <c r="C433" s="69" t="str">
        <f>IF('AV 3'!L109="Não",'AV 3'!K109,"-")</f>
        <v>-</v>
      </c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80" t="str">
        <f>IF('AV 3'!L110="Às vezes",'AV 3'!K110,"-")</f>
        <v>-</v>
      </c>
      <c r="C434" s="69" t="str">
        <f>IF('AV 3'!L110="Não",'AV 3'!K110,"-")</f>
        <v>-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80" t="str">
        <f>IF('AV 3'!L111="Às vezes",'AV 3'!K111,"-")</f>
        <v>-</v>
      </c>
      <c r="C435" s="69" t="str">
        <f>IF('AV 3'!L111="Não",'AV 3'!K111,"-")</f>
        <v>-</v>
      </c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80" t="str">
        <f>IF('AV 3'!L112="Às vezes",'AV 3'!K112,"-")</f>
        <v>-</v>
      </c>
      <c r="C436" s="69" t="str">
        <f>IF('AV 3'!L112="Não",'AV 3'!K112,"-")</f>
        <v>-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80" t="str">
        <f>IF('AV 3'!L113="Às vezes",'AV 3'!K113,"-")</f>
        <v>-</v>
      </c>
      <c r="C437" s="69" t="str">
        <f>IF('AV 3'!L113="Não",'AV 3'!K113,"-")</f>
        <v>-</v>
      </c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80" t="str">
        <f>IF('AV 3'!L114="Às vezes",'AV 3'!K114,"-")</f>
        <v>-</v>
      </c>
      <c r="C438" s="69" t="str">
        <f>IF('AV 3'!L114="Não",'AV 3'!K114,"-")</f>
        <v>-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80" t="str">
        <f>IF('AV 3'!L115="Às vezes",'AV 3'!K115,"-")</f>
        <v>-</v>
      </c>
      <c r="C439" s="69" t="str">
        <f>IF('AV 3'!L115="Não",'AV 3'!K115,"-")</f>
        <v>-</v>
      </c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80" t="str">
        <f>IF('AV 3'!L116="Às vezes",'AV 3'!K116,"-")</f>
        <v>-</v>
      </c>
      <c r="C440" s="69" t="str">
        <f>IF('AV 3'!L116="Não",'AV 3'!K116,"-")</f>
        <v>-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80" t="str">
        <f>IF('AV 3'!L117="Às vezes",'AV 3'!K117,"-")</f>
        <v>-</v>
      </c>
      <c r="C441" s="69" t="str">
        <f>IF('AV 3'!L117="Não",'AV 3'!K117,"-")</f>
        <v>-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80" t="str">
        <f>IF('AV 3'!L118="Às vezes",'AV 3'!K118,"-")</f>
        <v>-</v>
      </c>
      <c r="C442" s="69" t="str">
        <f>IF('AV 3'!L118="Não",'AV 3'!K118,"-")</f>
        <v>-</v>
      </c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80" t="str">
        <f>IF('AV 3'!L119="Às vezes",'AV 3'!K119,"-")</f>
        <v>-</v>
      </c>
      <c r="C443" s="69" t="str">
        <f>IF('AV 3'!L119="Não",'AV 3'!K119,"-")</f>
        <v>-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80" t="str">
        <f>IF('AV 3'!L120="Às vezes",'AV 3'!K120,"-")</f>
        <v>-</v>
      </c>
      <c r="C444" s="69" t="str">
        <f>IF('AV 3'!L120="Não",'AV 3'!K120,"-")</f>
        <v>-</v>
      </c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80" t="str">
        <f>IF('AV 3'!L121="Às vezes",'AV 3'!K121,"-")</f>
        <v>-</v>
      </c>
      <c r="C445" s="69" t="str">
        <f>IF('AV 3'!L121="Não",'AV 3'!K121,"-")</f>
        <v>-</v>
      </c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80" t="str">
        <f>IF('AV 3'!L122="Às vezes",'AV 3'!K122,"-")</f>
        <v>-</v>
      </c>
      <c r="C446" s="69" t="str">
        <f>IF('AV 3'!L122="Não",'AV 3'!K122,"-")</f>
        <v>-</v>
      </c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80" t="str">
        <f>IF('AV 3'!L123="Às vezes",'AV 3'!K123,"-")</f>
        <v>-</v>
      </c>
      <c r="C447" s="69" t="str">
        <f>IF('AV 3'!L123="Não",'AV 3'!K123,"-")</f>
        <v>-</v>
      </c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80" t="str">
        <f>IF('AV 3'!L124="Às vezes",'AV 3'!K124,"-")</f>
        <v>-</v>
      </c>
      <c r="C448" s="69" t="str">
        <f>IF('AV 3'!L124="Não",'AV 3'!K124,"-")</f>
        <v>-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80" t="str">
        <f>IF('AV 3'!L125="Às vezes",'AV 3'!K125,"-")</f>
        <v>-</v>
      </c>
      <c r="C449" s="69" t="str">
        <f>IF('AV 3'!L125="Não",'AV 3'!K125,"-")</f>
        <v>-</v>
      </c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80" t="str">
        <f>IF('AV 3'!L126="Às vezes",'AV 3'!K126,"-")</f>
        <v>-</v>
      </c>
      <c r="C450" s="69" t="str">
        <f>IF('AV 3'!L126="Não",'AV 3'!K126,"-")</f>
        <v>-</v>
      </c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80" t="str">
        <f>IF('AV 3'!L127="Às vezes",'AV 3'!K127,"-")</f>
        <v>-</v>
      </c>
      <c r="C451" s="69" t="str">
        <f>IF('AV 3'!L127="Não",'AV 3'!K127,"-")</f>
        <v>-</v>
      </c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79" t="s">
        <v>13</v>
      </c>
      <c r="C452" s="79" t="s">
        <v>13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80" t="str">
        <f>IF('AV 3'!O13="Às vezes",'AV 3'!N13,"-")</f>
        <v>-</v>
      </c>
      <c r="C453" s="69" t="str">
        <f>IF('AV 3'!O13="Não",'AV 3'!N13,"-")</f>
        <v>-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80" t="str">
        <f>IF('AV 3'!O14="Às vezes",'AV 3'!N14,"-")</f>
        <v>-</v>
      </c>
      <c r="C454" s="69" t="str">
        <f>IF('AV 3'!O14="Não",'AV 3'!N14,"-")</f>
        <v>-</v>
      </c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80" t="str">
        <f>IF('AV 3'!O15="Às vezes",'AV 3'!N15,"-")</f>
        <v>-</v>
      </c>
      <c r="C455" s="69" t="str">
        <f>IF('AV 3'!O15="Não",'AV 3'!N15,"-")</f>
        <v>-</v>
      </c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80" t="str">
        <f>IF('AV 3'!O16="Às vezes",'AV 3'!N16,"-")</f>
        <v>-</v>
      </c>
      <c r="C456" s="69" t="str">
        <f>IF('AV 3'!O16="Não",'AV 3'!N16,"-")</f>
        <v>-</v>
      </c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80" t="str">
        <f>IF('AV 3'!O17="Às vezes",'AV 3'!N17,"-")</f>
        <v>-</v>
      </c>
      <c r="C457" s="69" t="str">
        <f>IF('AV 3'!O17="Não",'AV 3'!N17,"-")</f>
        <v>-</v>
      </c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80" t="str">
        <f>IF('AV 3'!O18="Às vezes",'AV 3'!N18,"-")</f>
        <v>-</v>
      </c>
      <c r="C458" s="69" t="str">
        <f>IF('AV 3'!O18="Não",'AV 3'!N18,"-")</f>
        <v>-</v>
      </c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80" t="str">
        <f>IF('AV 3'!O19="Às vezes",'AV 3'!N19,"-")</f>
        <v>-</v>
      </c>
      <c r="C459" s="69" t="str">
        <f>IF('AV 3'!O19="Não",'AV 3'!N19,"-")</f>
        <v>-</v>
      </c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80" t="str">
        <f>IF('AV 3'!O20="Às vezes",'AV 3'!N20,"-")</f>
        <v>-</v>
      </c>
      <c r="C460" s="69" t="str">
        <f>IF('AV 3'!O20="Não",'AV 3'!N20,"-")</f>
        <v>-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80" t="str">
        <f>IF('AV 3'!O21="Às vezes",'AV 3'!N21,"-")</f>
        <v>-</v>
      </c>
      <c r="C461" s="69" t="str">
        <f>IF('AV 3'!O21="Não",'AV 3'!N21,"-")</f>
        <v>-</v>
      </c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80" t="str">
        <f>IF('AV 3'!O22="Às vezes",'AV 3'!N22,"-")</f>
        <v>-</v>
      </c>
      <c r="C462" s="69" t="str">
        <f>IF('AV 3'!O22="Não",'AV 3'!N22,"-")</f>
        <v>-</v>
      </c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80" t="str">
        <f>IF('AV 3'!O23="Às vezes",'AV 3'!N23,"-")</f>
        <v>-</v>
      </c>
      <c r="C463" s="69" t="str">
        <f>IF('AV 3'!O23="Não",'AV 3'!N23,"-")</f>
        <v>-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6.25" customHeight="1">
      <c r="A464" s="1"/>
      <c r="B464" s="80" t="str">
        <f>IF('AV 3'!O24="Às vezes",'AV 3'!N24,"-")</f>
        <v>-</v>
      </c>
      <c r="C464" s="69" t="str">
        <f>IF('AV 3'!O24="Não",'AV 3'!N24,"-")</f>
        <v>-</v>
      </c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80" t="str">
        <f>IF('AV 3'!O25="Às vezes",'AV 3'!N25,"-")</f>
        <v>-</v>
      </c>
      <c r="C465" s="69" t="str">
        <f>IF('AV 3'!O25="Não",'AV 3'!N25,"-")</f>
        <v>-</v>
      </c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80" t="str">
        <f>IF('AV 3'!O26="Às vezes",'AV 3'!N26,"-")</f>
        <v>-</v>
      </c>
      <c r="C466" s="69" t="str">
        <f>IF('AV 3'!O26="Não",'AV 3'!N26,"-")</f>
        <v>-</v>
      </c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80" t="str">
        <f>IF('AV 3'!O27="Às vezes",'AV 3'!N27,"-")</f>
        <v>-</v>
      </c>
      <c r="C467" s="69" t="str">
        <f>IF('AV 3'!O27="Não",'AV 3'!N27,"-")</f>
        <v>-</v>
      </c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80" t="str">
        <f>IF('AV 3'!O28="Às vezes",'AV 3'!N28,"-")</f>
        <v>-</v>
      </c>
      <c r="C468" s="69" t="str">
        <f>IF('AV 3'!O28="Não",'AV 3'!N28,"-")</f>
        <v>-</v>
      </c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80" t="str">
        <f>IF('AV 3'!O29="Às vezes",'AV 3'!N29,"-")</f>
        <v>-</v>
      </c>
      <c r="C469" s="69" t="str">
        <f>IF('AV 3'!O29="Não",'AV 3'!N29,"-")</f>
        <v>-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80" t="str">
        <f>IF('AV 3'!O30="Às vezes",'AV 3'!N30,"-")</f>
        <v>-</v>
      </c>
      <c r="C470" s="69" t="str">
        <f>IF('AV 3'!O30="Não",'AV 3'!N30,"-")</f>
        <v>-</v>
      </c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80" t="str">
        <f>IF('AV 3'!O31="Às vezes",'AV 3'!N31,"-")</f>
        <v>-</v>
      </c>
      <c r="C471" s="69" t="str">
        <f>IF('AV 3'!O31="Não",'AV 3'!N31,"-")</f>
        <v>-</v>
      </c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80" t="str">
        <f>IF('AV 3'!O32="Às vezes",'AV 3'!N32,"-")</f>
        <v>-</v>
      </c>
      <c r="C472" s="69" t="str">
        <f>IF('AV 3'!O32="Não",'AV 3'!N32,"-")</f>
        <v>-</v>
      </c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80" t="str">
        <f>IF('AV 3'!O33="Às vezes",'AV 3'!N33,"-")</f>
        <v>-</v>
      </c>
      <c r="C473" s="69" t="str">
        <f>IF('AV 3'!O33="Não",'AV 3'!N33,"-")</f>
        <v>-</v>
      </c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80" t="str">
        <f>IF('AV 3'!O34="Às vezes",'AV 3'!N34,"-")</f>
        <v>-</v>
      </c>
      <c r="C474" s="69" t="str">
        <f>IF('AV 3'!O34="Não",'AV 3'!N34,"-")</f>
        <v>-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80" t="str">
        <f>IF('AV 3'!O35="Às vezes",'AV 3'!N35,"-")</f>
        <v>-</v>
      </c>
      <c r="C475" s="69" t="str">
        <f>IF('AV 3'!O35="Não",'AV 3'!N35,"-")</f>
        <v>-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80" t="str">
        <f>IF('AV 3'!O36="Às vezes",'AV 3'!N36,"-")</f>
        <v>-</v>
      </c>
      <c r="C476" s="69" t="str">
        <f>IF('AV 3'!O36="Não",'AV 3'!N36,"-")</f>
        <v>-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80" t="str">
        <f>IF('AV 3'!O37="Às vezes",'AV 3'!N37,"-")</f>
        <v>-</v>
      </c>
      <c r="C477" s="69" t="str">
        <f>IF('AV 3'!O37="Não",'AV 3'!N37,"-")</f>
        <v>-</v>
      </c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80" t="str">
        <f>IF('AV 3'!O38="Às vezes",'AV 3'!N38,"-")</f>
        <v>-</v>
      </c>
      <c r="C478" s="69" t="str">
        <f>IF('AV 3'!O38="Não",'AV 3'!N38,"-")</f>
        <v>-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80" t="str">
        <f>IF('AV 3'!O39="Às vezes",'AV 3'!N39,"-")</f>
        <v>-</v>
      </c>
      <c r="C479" s="69" t="str">
        <f>IF('AV 3'!O39="Não",'AV 3'!N39,"-")</f>
        <v>-</v>
      </c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80" t="str">
        <f>IF('AV 3'!O40="Às vezes",'AV 3'!N40,"-")</f>
        <v>-</v>
      </c>
      <c r="C480" s="69" t="str">
        <f>IF('AV 3'!O40="Não",'AV 3'!N40,"-")</f>
        <v>-</v>
      </c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80" t="str">
        <f>IF('AV 3'!O41="Às vezes",'AV 3'!N41,"-")</f>
        <v>-</v>
      </c>
      <c r="C481" s="69" t="str">
        <f>IF('AV 3'!O41="Não",'AV 3'!N41,"-")</f>
        <v>-</v>
      </c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80" t="str">
        <f>IF('AV 3'!O42="Às vezes",'AV 3'!N42,"-")</f>
        <v>-</v>
      </c>
      <c r="C482" s="69" t="str">
        <f>IF('AV 3'!O42="Não",'AV 3'!N42,"-")</f>
        <v>-</v>
      </c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80" t="str">
        <f>IF('AV 3'!O43="Às vezes",'AV 3'!N43,"-")</f>
        <v>-</v>
      </c>
      <c r="C483" s="69" t="str">
        <f>IF('AV 3'!O43="Não",'AV 3'!N43,"-")</f>
        <v>-</v>
      </c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80" t="str">
        <f>IF('AV 3'!O44="Às vezes",'AV 3'!N44,"-")</f>
        <v>-</v>
      </c>
      <c r="C484" s="69" t="str">
        <f>IF('AV 3'!O44="Não",'AV 3'!N44,"-")</f>
        <v>-</v>
      </c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80" t="str">
        <f>IF('AV 3'!O45="Às vezes",'AV 3'!N45,"-")</f>
        <v>-</v>
      </c>
      <c r="C485" s="69" t="str">
        <f>IF('AV 3'!O45="Não",'AV 3'!N45,"-")</f>
        <v>-</v>
      </c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80" t="str">
        <f>IF('AV 3'!O46="Às vezes",'AV 3'!N46,"-")</f>
        <v>-</v>
      </c>
      <c r="C486" s="69" t="str">
        <f>IF('AV 3'!O46="Não",'AV 3'!N46,"-")</f>
        <v>-</v>
      </c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80" t="str">
        <f>IF('AV 3'!O47="Às vezes",'AV 3'!N47,"-")</f>
        <v>-</v>
      </c>
      <c r="C487" s="69" t="str">
        <f>IF('AV 3'!O47="Não",'AV 3'!N47,"-")</f>
        <v>-</v>
      </c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80" t="str">
        <f>IF('AV 3'!O48="Às vezes",'AV 3'!N48,"-")</f>
        <v>-</v>
      </c>
      <c r="C488" s="69" t="str">
        <f>IF('AV 3'!O48="Não",'AV 3'!N48,"-")</f>
        <v>-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80" t="str">
        <f>IF('AV 3'!O49="Às vezes",'AV 3'!N49,"-")</f>
        <v>-</v>
      </c>
      <c r="C489" s="69" t="str">
        <f>IF('AV 3'!O49="Não",'AV 3'!N49,"-")</f>
        <v>-</v>
      </c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80" t="str">
        <f>IF('AV 3'!O50="Às vezes",'AV 3'!N50,"-")</f>
        <v>-</v>
      </c>
      <c r="C490" s="69" t="str">
        <f>IF('AV 3'!O50="Não",'AV 3'!N50,"-")</f>
        <v>-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80" t="str">
        <f>IF('AV 3'!O51="Às vezes",'AV 3'!N51,"-")</f>
        <v>-</v>
      </c>
      <c r="C491" s="69" t="str">
        <f>IF('AV 3'!O51="Não",'AV 3'!N51,"-")</f>
        <v>-</v>
      </c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80" t="str">
        <f>IF('AV 3'!O52="Às vezes",'AV 3'!N52,"-")</f>
        <v>-</v>
      </c>
      <c r="C492" s="69" t="str">
        <f>IF('AV 3'!O52="Não",'AV 3'!N52,"-")</f>
        <v>-</v>
      </c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80" t="str">
        <f>IF('AV 3'!O53="Às vezes",'AV 3'!N53,"-")</f>
        <v>-</v>
      </c>
      <c r="C493" s="69" t="str">
        <f>IF('AV 3'!O53="Não",'AV 3'!N53,"-")</f>
        <v>-</v>
      </c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80" t="str">
        <f>IF('AV 3'!O54="Às vezes",'AV 3'!N54,"-")</f>
        <v>-</v>
      </c>
      <c r="C494" s="69" t="str">
        <f>IF('AV 3'!O54="Não",'AV 3'!N54,"-")</f>
        <v>-</v>
      </c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80" t="str">
        <f>IF('AV 3'!O55="Às vezes",'AV 3'!N55,"-")</f>
        <v>-</v>
      </c>
      <c r="C495" s="69" t="str">
        <f>IF('AV 3'!O55="Não",'AV 3'!N55,"-")</f>
        <v>-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80" t="str">
        <f>IF('AV 3'!O56="Às vezes",'AV 3'!N56,"-")</f>
        <v>-</v>
      </c>
      <c r="C496" s="69" t="str">
        <f>IF('AV 3'!O56="Não",'AV 3'!N56,"-")</f>
        <v>-</v>
      </c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80" t="str">
        <f>IF('AV 3'!O57="Às vezes",'AV 3'!N57,"-")</f>
        <v>-</v>
      </c>
      <c r="C497" s="69" t="str">
        <f>IF('AV 3'!O57="Não",'AV 3'!N57,"-")</f>
        <v>-</v>
      </c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80" t="str">
        <f>IF('AV 3'!O58="Às vezes",'AV 3'!N58,"-")</f>
        <v>-</v>
      </c>
      <c r="C498" s="69" t="str">
        <f>IF('AV 3'!O58="Não",'AV 3'!N58,"-")</f>
        <v>-</v>
      </c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80" t="str">
        <f>IF('AV 3'!O59="Às vezes",'AV 3'!N59,"-")</f>
        <v>-</v>
      </c>
      <c r="C499" s="69" t="str">
        <f>IF('AV 3'!O59="Não",'AV 3'!N59,"-")</f>
        <v>-</v>
      </c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80" t="str">
        <f>IF('AV 3'!O60="Às vezes",'AV 3'!N60,"-")</f>
        <v>-</v>
      </c>
      <c r="C500" s="69" t="str">
        <f>IF('AV 3'!O60="Não",'AV 3'!N60,"-")</f>
        <v>-</v>
      </c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80" t="str">
        <f>IF('AV 3'!O61="Às vezes",'AV 3'!N61,"-")</f>
        <v>-</v>
      </c>
      <c r="C501" s="69" t="str">
        <f>IF('AV 3'!O61="Não",'AV 3'!N61,"-")</f>
        <v>-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80" t="str">
        <f>IF('AV 3'!O62="Às vezes",'AV 3'!N62,"-")</f>
        <v>-</v>
      </c>
      <c r="C502" s="69" t="str">
        <f>IF('AV 3'!O62="Não",'AV 3'!N62,"-")</f>
        <v>-</v>
      </c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80" t="str">
        <f>IF('AV 3'!O63="Às vezes",'AV 3'!N63,"-")</f>
        <v>-</v>
      </c>
      <c r="C503" s="69" t="str">
        <f>IF('AV 3'!O63="Não",'AV 3'!N63,"-")</f>
        <v>-</v>
      </c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80" t="str">
        <f>IF('AV 3'!O64="Às vezes",'AV 3'!N64,"-")</f>
        <v>-</v>
      </c>
      <c r="C504" s="69" t="str">
        <f>IF('AV 3'!O64="Não",'AV 3'!N64,"-")</f>
        <v>-</v>
      </c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80" t="str">
        <f>IF('AV 3'!O65="Às vezes",'AV 3'!N65,"-")</f>
        <v>-</v>
      </c>
      <c r="C505" s="69" t="str">
        <f>IF('AV 3'!O65="Não",'AV 3'!N65,"-")</f>
        <v>-</v>
      </c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80" t="str">
        <f>IF('AV 3'!O66="Às vezes",'AV 3'!N66,"-")</f>
        <v>-</v>
      </c>
      <c r="C506" s="69" t="str">
        <f>IF('AV 3'!O66="Não",'AV 3'!N66,"-")</f>
        <v>-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80" t="str">
        <f>IF('AV 3'!O67="Às vezes",'AV 3'!N67,"-")</f>
        <v>-</v>
      </c>
      <c r="C507" s="69" t="str">
        <f>IF('AV 3'!O67="Não",'AV 3'!N67,"-")</f>
        <v>-</v>
      </c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80" t="str">
        <f>IF('AV 3'!O68="Às vezes",'AV 3'!N68,"-")</f>
        <v>-</v>
      </c>
      <c r="C508" s="69" t="str">
        <f>IF('AV 3'!O68="Não",'AV 3'!N68,"-")</f>
        <v>-</v>
      </c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80" t="str">
        <f>IF('AV 3'!O69="Às vezes",'AV 3'!N69,"-")</f>
        <v>-</v>
      </c>
      <c r="C509" s="69" t="str">
        <f>IF('AV 3'!O69="Não",'AV 3'!N69,"-")</f>
        <v>-</v>
      </c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80" t="str">
        <f>IF('AV 3'!O70="Às vezes",'AV 3'!N70,"-")</f>
        <v>-</v>
      </c>
      <c r="C510" s="69" t="str">
        <f>IF('AV 3'!O70="Não",'AV 3'!N70,"-")</f>
        <v>-</v>
      </c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80" t="str">
        <f>IF('AV 3'!O71="Às vezes",'AV 3'!N71,"-")</f>
        <v>-</v>
      </c>
      <c r="C511" s="69" t="str">
        <f>IF('AV 3'!O71="Não",'AV 3'!N71,"-")</f>
        <v>-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80" t="str">
        <f>IF('AV 3'!O72="Às vezes",'AV 3'!N72,"-")</f>
        <v>-</v>
      </c>
      <c r="C512" s="69" t="str">
        <f>IF('AV 3'!O72="Não",'AV 3'!N72,"-")</f>
        <v>-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80" t="str">
        <f>IF('AV 3'!O73="Às vezes",'AV 3'!N73,"-")</f>
        <v>-</v>
      </c>
      <c r="C513" s="69" t="str">
        <f>IF('AV 3'!O73="Não",'AV 3'!N73,"-")</f>
        <v>-</v>
      </c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80" t="str">
        <f>IF('AV 3'!O74="Às vezes",'AV 3'!N74,"-")</f>
        <v>-</v>
      </c>
      <c r="C514" s="69" t="str">
        <f>IF('AV 3'!O74="Não",'AV 3'!N74,"-")</f>
        <v>-</v>
      </c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80" t="str">
        <f>IF('AV 3'!O75="Às vezes",'AV 3'!N75,"-")</f>
        <v>-</v>
      </c>
      <c r="C515" s="69" t="str">
        <f>IF('AV 3'!O75="Não",'AV 3'!N75,"-")</f>
        <v>-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80" t="str">
        <f>IF('AV 3'!O76="Às vezes",'AV 3'!N76,"-")</f>
        <v>-</v>
      </c>
      <c r="C516" s="69" t="str">
        <f>IF('AV 3'!O76="Não",'AV 3'!N76,"-")</f>
        <v>-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80" t="str">
        <f>IF('AV 3'!O77="Às vezes",'AV 3'!N77,"-")</f>
        <v>-</v>
      </c>
      <c r="C517" s="69" t="str">
        <f>IF('AV 3'!O77="Não",'AV 3'!N77,"-")</f>
        <v>-</v>
      </c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80" t="str">
        <f>IF('AV 3'!O78="Às vezes",'AV 3'!N78,"-")</f>
        <v>-</v>
      </c>
      <c r="C518" s="69" t="str">
        <f>IF('AV 3'!O78="Não",'AV 3'!N78,"-")</f>
        <v>-</v>
      </c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80" t="str">
        <f>IF('AV 3'!O79="Às vezes",'AV 3'!N79,"-")</f>
        <v>-</v>
      </c>
      <c r="C519" s="69" t="str">
        <f>IF('AV 3'!O79="Não",'AV 3'!N79,"-")</f>
        <v>-</v>
      </c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80" t="str">
        <f>IF('AV 3'!O80="Às vezes",'AV 3'!N80,"-")</f>
        <v>-</v>
      </c>
      <c r="C520" s="69" t="str">
        <f>IF('AV 3'!O80="Não",'AV 3'!N80,"-")</f>
        <v>-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80" t="str">
        <f>IF('AV 3'!O81="Às vezes",'AV 3'!N81,"-")</f>
        <v>-</v>
      </c>
      <c r="C521" s="69" t="str">
        <f>IF('AV 3'!O81="Não",'AV 3'!N81,"-")</f>
        <v>-</v>
      </c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80" t="str">
        <f>IF('AV 3'!O82="Às vezes",'AV 3'!N82,"-")</f>
        <v>-</v>
      </c>
      <c r="C522" s="69" t="str">
        <f>IF('AV 3'!O82="Não",'AV 3'!N82,"-")</f>
        <v>-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80" t="str">
        <f>IF('AV 3'!O83="Às vezes",'AV 3'!N83,"-")</f>
        <v>-</v>
      </c>
      <c r="C523" s="69" t="str">
        <f>IF('AV 3'!O83="Não",'AV 3'!N83,"-")</f>
        <v>-</v>
      </c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80" t="str">
        <f>IF('AV 3'!O84="Às vezes",'AV 3'!N84,"-")</f>
        <v>-</v>
      </c>
      <c r="C524" s="69" t="str">
        <f>IF('AV 3'!O84="Não",'AV 3'!N84,"-")</f>
        <v>-</v>
      </c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80" t="str">
        <f>IF('AV 3'!O85="Às vezes",'AV 3'!N85,"-")</f>
        <v>-</v>
      </c>
      <c r="C525" s="69" t="str">
        <f>IF('AV 3'!O85="Não",'AV 3'!N85,"-")</f>
        <v>-</v>
      </c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80" t="str">
        <f>IF('AV 3'!O86="Às vezes",'AV 3'!N86,"-")</f>
        <v>-</v>
      </c>
      <c r="C526" s="69" t="str">
        <f>IF('AV 3'!O86="Não",'AV 3'!N86,"-")</f>
        <v>-</v>
      </c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80" t="str">
        <f>IF('AV 3'!O87="Às vezes",'AV 3'!N87,"-")</f>
        <v>-</v>
      </c>
      <c r="C527" s="69" t="str">
        <f>IF('AV 3'!O87="Não",'AV 3'!N87,"-")</f>
        <v>-</v>
      </c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80" t="str">
        <f>IF('AV 3'!O88="Às vezes",'AV 3'!N88,"-")</f>
        <v>-</v>
      </c>
      <c r="C528" s="69" t="str">
        <f>IF('AV 3'!O88="Não",'AV 3'!N88,"-")</f>
        <v>-</v>
      </c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80" t="str">
        <f>IF('AV 3'!O89="Às vezes",'AV 3'!N89,"-")</f>
        <v>-</v>
      </c>
      <c r="C529" s="69" t="str">
        <f>IF('AV 3'!O89="Não",'AV 3'!N89,"-")</f>
        <v>-</v>
      </c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80" t="str">
        <f>IF('AV 3'!O90="Às vezes",'AV 3'!N90,"-")</f>
        <v>-</v>
      </c>
      <c r="C530" s="69" t="str">
        <f>IF('AV 3'!O90="Não",'AV 3'!N90,"-")</f>
        <v>-</v>
      </c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80" t="str">
        <f>IF('AV 3'!O91="Às vezes",'AV 3'!N91,"-")</f>
        <v>-</v>
      </c>
      <c r="C531" s="69" t="str">
        <f>IF('AV 3'!O91="Não",'AV 3'!N91,"-")</f>
        <v>-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80" t="str">
        <f>IF('AV 3'!O92="Às vezes",'AV 3'!N92,"-")</f>
        <v>-</v>
      </c>
      <c r="C532" s="69" t="str">
        <f>IF('AV 3'!O92="Não",'AV 3'!N92,"-")</f>
        <v>-</v>
      </c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80" t="str">
        <f>IF('AV 3'!O93="Às vezes",'AV 3'!N93,"-")</f>
        <v>-</v>
      </c>
      <c r="C533" s="69" t="str">
        <f>IF('AV 3'!O93="Não",'AV 3'!N93,"-")</f>
        <v>-</v>
      </c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80" t="str">
        <f>IF('AV 3'!O94="Às vezes",'AV 3'!N94,"-")</f>
        <v>-</v>
      </c>
      <c r="C534" s="69" t="str">
        <f>IF('AV 3'!O94="Não",'AV 3'!N94,"-")</f>
        <v>-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80" t="str">
        <f>IF('AV 3'!O95="Às vezes",'AV 3'!N95,"-")</f>
        <v>-</v>
      </c>
      <c r="C535" s="69" t="str">
        <f>IF('AV 3'!O95="Não",'AV 3'!N95,"-")</f>
        <v>-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80" t="str">
        <f>IF('AV 3'!O96="Às vezes",'AV 3'!N96,"-")</f>
        <v>-</v>
      </c>
      <c r="C536" s="69" t="str">
        <f>IF('AV 3'!O96="Não",'AV 3'!N96,"-")</f>
        <v>-</v>
      </c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80" t="str">
        <f>IF('AV 3'!O97="Às vezes",'AV 3'!N97,"-")</f>
        <v>-</v>
      </c>
      <c r="C537" s="69" t="str">
        <f>IF('AV 3'!O97="Não",'AV 3'!N97,"-")</f>
        <v>-</v>
      </c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80" t="str">
        <f>IF('AV 3'!O98="Às vezes",'AV 3'!N98,"-")</f>
        <v>-</v>
      </c>
      <c r="C538" s="69" t="str">
        <f>IF('AV 3'!O98="Não",'AV 3'!N98,"-")</f>
        <v>-</v>
      </c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80" t="str">
        <f>IF('AV 3'!O99="Às vezes",'AV 3'!N99,"-")</f>
        <v>-</v>
      </c>
      <c r="C539" s="69" t="str">
        <f>IF('AV 3'!O99="Não",'AV 3'!N99,"-")</f>
        <v>-</v>
      </c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80" t="str">
        <f>IF('AV 3'!O100="Às vezes",'AV 3'!N100,"-")</f>
        <v>-</v>
      </c>
      <c r="C540" s="69" t="str">
        <f>IF('AV 3'!O100="Não",'AV 3'!N100,"-")</f>
        <v>-</v>
      </c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80" t="str">
        <f>IF('AV 3'!O101="Às vezes",'AV 3'!N101,"-")</f>
        <v>-</v>
      </c>
      <c r="C541" s="69" t="str">
        <f>IF('AV 3'!O101="Não",'AV 3'!N101,"-")</f>
        <v>-</v>
      </c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80" t="str">
        <f>IF('AV 3'!O102="Às vezes",'AV 3'!N102,"-")</f>
        <v>-</v>
      </c>
      <c r="C542" s="69" t="str">
        <f>IF('AV 3'!O102="Não",'AV 3'!N102,"-")</f>
        <v>-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80" t="str">
        <f>IF('AV 3'!O103="Às vezes",'AV 3'!N103,"-")</f>
        <v>-</v>
      </c>
      <c r="C543" s="69" t="str">
        <f>IF('AV 3'!O103="Não",'AV 3'!N103,"-")</f>
        <v>-</v>
      </c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80" t="str">
        <f>IF('AV 3'!O104="Às vezes",'AV 3'!N104,"-")</f>
        <v>-</v>
      </c>
      <c r="C544" s="69" t="str">
        <f>IF('AV 3'!O104="Não",'AV 3'!N104,"-")</f>
        <v>-</v>
      </c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80" t="str">
        <f>IF('AV 3'!O105="Às vezes",'AV 3'!N105,"-")</f>
        <v>-</v>
      </c>
      <c r="C545" s="69" t="str">
        <f>IF('AV 3'!O105="Não",'AV 3'!N105,"-")</f>
        <v>-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80" t="str">
        <f>IF('AV 3'!O106="Às vezes",'AV 3'!N106,"-")</f>
        <v>-</v>
      </c>
      <c r="C546" s="69" t="str">
        <f>IF('AV 3'!O106="Não",'AV 3'!N106,"-")</f>
        <v>-</v>
      </c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80" t="str">
        <f>IF('AV 3'!O107="Às vezes",'AV 3'!N107,"-")</f>
        <v>-</v>
      </c>
      <c r="C547" s="69" t="str">
        <f>IF('AV 3'!O107="Não",'AV 3'!N107,"-")</f>
        <v>-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80" t="str">
        <f>IF('AV 3'!O108="Às vezes",'AV 3'!N108,"-")</f>
        <v>-</v>
      </c>
      <c r="C548" s="69" t="str">
        <f>IF('AV 3'!O108="Não",'AV 3'!N108,"-")</f>
        <v>-</v>
      </c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80" t="str">
        <f>IF('AV 3'!O109="Às vezes",'AV 3'!N109,"-")</f>
        <v>-</v>
      </c>
      <c r="C549" s="69" t="str">
        <f>IF('AV 3'!O109="Não",'AV 3'!N109,"-")</f>
        <v>-</v>
      </c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80" t="str">
        <f>IF('AV 3'!O110="Às vezes",'AV 3'!N110,"-")</f>
        <v>-</v>
      </c>
      <c r="C550" s="69" t="str">
        <f>IF('AV 3'!O110="Não",'AV 3'!N110,"-")</f>
        <v>-</v>
      </c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80" t="str">
        <f>IF('AV 3'!O111="Às vezes",'AV 3'!N111,"-")</f>
        <v>-</v>
      </c>
      <c r="C551" s="69" t="str">
        <f>IF('AV 3'!O111="Não",'AV 3'!N111,"-")</f>
        <v>-</v>
      </c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80" t="str">
        <f>IF('AV 3'!O112="Às vezes",'AV 3'!N112,"-")</f>
        <v>-</v>
      </c>
      <c r="C552" s="69" t="str">
        <f>IF('AV 3'!O112="Não",'AV 3'!N112,"-")</f>
        <v>-</v>
      </c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80" t="str">
        <f>IF('AV 3'!O113="Às vezes",'AV 3'!N113,"-")</f>
        <v>-</v>
      </c>
      <c r="C553" s="69" t="str">
        <f>IF('AV 3'!O113="Não",'AV 3'!N113,"-")</f>
        <v>-</v>
      </c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80" t="str">
        <f>IF('AV 3'!O114="Às vezes",'AV 3'!N114,"-")</f>
        <v>-</v>
      </c>
      <c r="C554" s="69" t="str">
        <f>IF('AV 3'!O114="Não",'AV 3'!N114,"-")</f>
        <v>-</v>
      </c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80" t="str">
        <f>IF('AV 3'!O115="Às vezes",'AV 3'!N115,"-")</f>
        <v>-</v>
      </c>
      <c r="C555" s="69" t="str">
        <f>IF('AV 3'!O115="Não",'AV 3'!N115,"-")</f>
        <v>-</v>
      </c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80" t="str">
        <f>IF('AV 3'!O116="Às vezes",'AV 3'!N116,"-")</f>
        <v>-</v>
      </c>
      <c r="C556" s="69" t="str">
        <f>IF('AV 3'!O116="Não",'AV 3'!N116,"-")</f>
        <v>-</v>
      </c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80" t="str">
        <f>IF('AV 3'!O117="Às vezes",'AV 3'!N117,"-")</f>
        <v>-</v>
      </c>
      <c r="C557" s="69" t="str">
        <f>IF('AV 3'!O117="Não",'AV 3'!N117,"-")</f>
        <v>-</v>
      </c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80" t="str">
        <f>IF('AV 3'!O118="Às vezes",'AV 3'!N118,"-")</f>
        <v>-</v>
      </c>
      <c r="C558" s="69" t="str">
        <f>IF('AV 3'!O118="Não",'AV 3'!N118,"-")</f>
        <v>-</v>
      </c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80" t="str">
        <f>IF('AV 3'!O119="Às vezes",'AV 3'!N119,"-")</f>
        <v>-</v>
      </c>
      <c r="C559" s="69" t="str">
        <f>IF('AV 3'!O119="Não",'AV 3'!N119,"-")</f>
        <v>-</v>
      </c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80" t="str">
        <f>IF('AV 3'!O120="Às vezes",'AV 3'!N120,"-")</f>
        <v>-</v>
      </c>
      <c r="C560" s="69" t="str">
        <f>IF('AV 3'!O120="Não",'AV 3'!N120,"-")</f>
        <v>-</v>
      </c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80" t="str">
        <f>IF('AV 3'!O121="Às vezes",'AV 3'!N121,"-")</f>
        <v>-</v>
      </c>
      <c r="C561" s="69" t="str">
        <f>IF('AV 3'!O121="Não",'AV 3'!N121,"-")</f>
        <v>-</v>
      </c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80" t="str">
        <f>IF('AV 3'!O122="Às vezes",'AV 3'!N122,"-")</f>
        <v>-</v>
      </c>
      <c r="C562" s="69" t="str">
        <f>IF('AV 3'!O122="Não",'AV 3'!N122,"-")</f>
        <v>-</v>
      </c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80" t="str">
        <f>IF('AV 3'!O123="Às vezes",'AV 3'!N123,"-")</f>
        <v>-</v>
      </c>
      <c r="C563" s="69" t="str">
        <f>IF('AV 3'!O123="Não",'AV 3'!N123,"-")</f>
        <v>-</v>
      </c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80" t="str">
        <f>IF('AV 3'!O124="Às vezes",'AV 3'!N124,"-")</f>
        <v>-</v>
      </c>
      <c r="C564" s="69" t="str">
        <f>IF('AV 3'!O124="Não",'AV 3'!N124,"-")</f>
        <v>-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80" t="str">
        <f>IF('AV 3'!O125="Às vezes",'AV 3'!N125,"-")</f>
        <v>-</v>
      </c>
      <c r="C565" s="69" t="str">
        <f>IF('AV 3'!O125="Não",'AV 3'!N125,"-")</f>
        <v>-</v>
      </c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80" t="str">
        <f>IF('AV 3'!O126="Às vezes",'AV 3'!N126,"-")</f>
        <v>-</v>
      </c>
      <c r="C566" s="69" t="str">
        <f>IF('AV 3'!O126="Não",'AV 3'!N126,"-")</f>
        <v>-</v>
      </c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80" t="str">
        <f>IF('AV 3'!O127="Às vezes",'AV 3'!N127,"-")</f>
        <v>-</v>
      </c>
      <c r="C567" s="69" t="str">
        <f>IF('AV 3'!O127="Não",'AV 3'!N127,"-")</f>
        <v>-</v>
      </c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80" t="str">
        <f>IF('AV 3'!O128="Às vezes",'AV 3'!N128,"-")</f>
        <v>-</v>
      </c>
      <c r="C568" s="69" t="str">
        <f>IF('AV 3'!O128="Não",'AV 3'!N128,"-")</f>
        <v>-</v>
      </c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80" t="str">
        <f>IF('AV 3'!O129="Às vezes",'AV 3'!N129,"-")</f>
        <v>-</v>
      </c>
      <c r="C569" s="69" t="str">
        <f>IF('AV 3'!O129="Não",'AV 3'!N129,"-")</f>
        <v>-</v>
      </c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80" t="str">
        <f>IF('AV 3'!O130="Às vezes",'AV 3'!N130,"-")</f>
        <v>-</v>
      </c>
      <c r="C570" s="69" t="str">
        <f>IF('AV 3'!O130="Não",'AV 3'!N130,"-")</f>
        <v>-</v>
      </c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80" t="str">
        <f>IF('AV 3'!O131="Às vezes",'AV 3'!N131,"-")</f>
        <v>-</v>
      </c>
      <c r="C571" s="69" t="str">
        <f>IF('AV 3'!O131="Não",'AV 3'!N131,"-")</f>
        <v>-</v>
      </c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80" t="str">
        <f>IF('AV 3'!O132="Às vezes",'AV 3'!N132,"-")</f>
        <v>-</v>
      </c>
      <c r="C572" s="69" t="str">
        <f>IF('AV 3'!O132="Não",'AV 3'!N132,"-")</f>
        <v>-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80" t="str">
        <f>IF('AV 3'!O133="Às vezes",'AV 3'!N133,"-")</f>
        <v>-</v>
      </c>
      <c r="C573" s="69" t="str">
        <f>IF('AV 3'!O133="Não",'AV 3'!N133,"-")</f>
        <v>-</v>
      </c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80" t="str">
        <f>IF('AV 3'!O134="Às vezes",'AV 3'!N134,"-")</f>
        <v>-</v>
      </c>
      <c r="C574" s="69" t="str">
        <f>IF('AV 3'!O134="Não",'AV 3'!N134,"-")</f>
        <v>-</v>
      </c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80" t="str">
        <f>IF('AV 3'!O135="Às vezes",'AV 3'!N135,"-")</f>
        <v>-</v>
      </c>
      <c r="C575" s="69" t="str">
        <f>IF('AV 3'!O135="Não",'AV 3'!N135,"-")</f>
        <v>-</v>
      </c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80" t="str">
        <f>IF('AV 3'!O136="Às vezes",'AV 3'!N136,"-")</f>
        <v>-</v>
      </c>
      <c r="C576" s="69" t="str">
        <f>IF('AV 3'!O136="Não",'AV 3'!N136,"-")</f>
        <v>-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80" t="str">
        <f>IF('AV 3'!O137="Às vezes",'AV 3'!N137,"-")</f>
        <v>-</v>
      </c>
      <c r="C577" s="69" t="str">
        <f>IF('AV 3'!O137="Não",'AV 3'!N137,"-")</f>
        <v>-</v>
      </c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80" t="str">
        <f>IF('AV 3'!O138="Às vezes",'AV 3'!N138,"-")</f>
        <v>-</v>
      </c>
      <c r="C578" s="69" t="str">
        <f>IF('AV 3'!O138="Não",'AV 3'!N138,"-")</f>
        <v>-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80" t="str">
        <f>IF('AV 3'!O139="Às vezes",'AV 3'!N139,"-")</f>
        <v>-</v>
      </c>
      <c r="C579" s="69" t="str">
        <f>IF('AV 3'!O139="Não",'AV 3'!N139,"-")</f>
        <v>-</v>
      </c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80" t="str">
        <f>IF('AV 3'!O140="Às vezes",'AV 3'!N140,"-")</f>
        <v>-</v>
      </c>
      <c r="C580" s="69" t="str">
        <f>IF('AV 3'!O140="Não",'AV 3'!N140,"-")</f>
        <v>-</v>
      </c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80" t="str">
        <f>IF('AV 3'!O141="Às vezes",'AV 3'!N141,"-")</f>
        <v>-</v>
      </c>
      <c r="C581" s="69" t="str">
        <f>IF('AV 3'!O141="Não",'AV 3'!N141,"-")</f>
        <v>-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80" t="str">
        <f>IF('AV 3'!O142="Às vezes",'AV 3'!N142,"-")</f>
        <v>-</v>
      </c>
      <c r="C582" s="69" t="str">
        <f>IF('AV 3'!O142="Não",'AV 3'!N142,"-")</f>
        <v>-</v>
      </c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80" t="str">
        <f>IF('AV 3'!O143="Às vezes",'AV 3'!N143,"-")</f>
        <v>-</v>
      </c>
      <c r="C583" s="69" t="str">
        <f>IF('AV 3'!O143="Não",'AV 3'!N143,"-")</f>
        <v>-</v>
      </c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80" t="str">
        <f>IF('AV 3'!O144="Às vezes",'AV 3'!N144,"-")</f>
        <v>-</v>
      </c>
      <c r="C584" s="69" t="str">
        <f>IF('AV 3'!O144="Não",'AV 3'!N144,"-")</f>
        <v>-</v>
      </c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80" t="str">
        <f>IF('AV 3'!O145="Às vezes",'AV 3'!N145,"-")</f>
        <v>-</v>
      </c>
      <c r="C585" s="69" t="str">
        <f>IF('AV 3'!O145="Não",'AV 3'!N145,"-")</f>
        <v>-</v>
      </c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80" t="str">
        <f>IF('AV 3'!O146="Às vezes",'AV 3'!N146,"-")</f>
        <v>-</v>
      </c>
      <c r="C586" s="69" t="str">
        <f>IF('AV 3'!O146="Não",'AV 3'!N146,"-")</f>
        <v>-</v>
      </c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80" t="str">
        <f>IF('AV 3'!O147="Às vezes",'AV 3'!N147,"-")</f>
        <v>-</v>
      </c>
      <c r="C587" s="69" t="str">
        <f>IF('AV 3'!O147="Não",'AV 3'!N147,"-")</f>
        <v>-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80" t="str">
        <f>IF('AV 3'!O148="Às vezes",'AV 3'!N148,"-")</f>
        <v>-</v>
      </c>
      <c r="C588" s="69" t="str">
        <f>IF('AV 3'!O148="Não",'AV 3'!N148,"-")</f>
        <v>-</v>
      </c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80" t="str">
        <f>IF('AV 3'!O149="Às vezes",'AV 3'!N149,"-")</f>
        <v>-</v>
      </c>
      <c r="C589" s="69" t="str">
        <f>IF('AV 3'!O149="Não",'AV 3'!N149,"-")</f>
        <v>-</v>
      </c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80" t="str">
        <f>IF('AV 3'!O150="Às vezes",'AV 3'!N150,"-")</f>
        <v>-</v>
      </c>
      <c r="C590" s="69" t="str">
        <f>IF('AV 3'!O150="Não",'AV 3'!N150,"-")</f>
        <v>-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80" t="str">
        <f>IF('AV 3'!O151="Às vezes",'AV 3'!N151,"-")</f>
        <v>-</v>
      </c>
      <c r="C591" s="69" t="str">
        <f>IF('AV 3'!O151="Não",'AV 3'!N151,"-")</f>
        <v>-</v>
      </c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80" t="str">
        <f>IF('AV 3'!O152="Às vezes",'AV 3'!N152,"-")</f>
        <v>-</v>
      </c>
      <c r="C592" s="69" t="str">
        <f>IF('AV 3'!O152="Não",'AV 3'!N152,"-")</f>
        <v>-</v>
      </c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80" t="str">
        <f>IF('AV 3'!O153="Às vezes",'AV 3'!N153,"-")</f>
        <v>-</v>
      </c>
      <c r="C593" s="69" t="str">
        <f>IF('AV 3'!O153="Não",'AV 3'!N153,"-")</f>
        <v>-</v>
      </c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80" t="str">
        <f>IF('AV 3'!O154="Às vezes",'AV 3'!N154,"-")</f>
        <v>-</v>
      </c>
      <c r="C594" s="69" t="str">
        <f>IF('AV 3'!O154="Não",'AV 3'!N154,"-")</f>
        <v>-</v>
      </c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80" t="str">
        <f>IF('AV 3'!O155="Às vezes",'AV 3'!N155,"-")</f>
        <v>-</v>
      </c>
      <c r="C595" s="69" t="str">
        <f>IF('AV 3'!O155="Não",'AV 3'!N155,"-")</f>
        <v>-</v>
      </c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80" t="str">
        <f>IF('AV 3'!O156="Às vezes",'AV 3'!N156,"-")</f>
        <v>-</v>
      </c>
      <c r="C596" s="69" t="str">
        <f>IF('AV 3'!O156="Não",'AV 3'!N156,"-")</f>
        <v>-</v>
      </c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80" t="str">
        <f>IF('AV 3'!O157="Às vezes",'AV 3'!N157,"-")</f>
        <v>-</v>
      </c>
      <c r="C597" s="69" t="str">
        <f>IF('AV 3'!O157="Não",'AV 3'!N157,"-")</f>
        <v>-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80" t="str">
        <f>IF('AV 3'!O158="Às vezes",'AV 3'!N158,"-")</f>
        <v>-</v>
      </c>
      <c r="C598" s="69" t="str">
        <f>IF('AV 3'!O158="Não",'AV 3'!N158,"-")</f>
        <v>-</v>
      </c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80" t="str">
        <f>IF('AV 3'!O159="Às vezes",'AV 3'!N159,"-")</f>
        <v>-</v>
      </c>
      <c r="C599" s="69" t="str">
        <f>IF('AV 3'!O159="Não",'AV 3'!N159,"-")</f>
        <v>-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80" t="str">
        <f>IF('AV 3'!O160="Às vezes",'AV 3'!N160,"-")</f>
        <v>-</v>
      </c>
      <c r="C600" s="69" t="str">
        <f>IF('AV 3'!O160="Não",'AV 3'!N160,"-")</f>
        <v>-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80" t="str">
        <f>IF('AV 3'!O161="Às vezes",'AV 3'!N161,"-")</f>
        <v>-</v>
      </c>
      <c r="C601" s="69" t="str">
        <f>IF('AV 3'!O161="Não",'AV 3'!N161,"-")</f>
        <v>-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80" t="str">
        <f>IF('AV 3'!O162="Às vezes",'AV 3'!N162,"-")</f>
        <v>-</v>
      </c>
      <c r="C602" s="69" t="str">
        <f>IF('AV 3'!O162="Não",'AV 3'!N162,"-")</f>
        <v>-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3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3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3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3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A$11:$C$11"/>
  <mergeCells count="3">
    <mergeCell ref="B2:C2"/>
    <mergeCell ref="B9:C9"/>
    <mergeCell ref="B10:C10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2" width="56.29"/>
    <col customWidth="1" min="3" max="3" width="11.0"/>
    <col customWidth="1" min="4" max="4" width="11.71"/>
    <col customWidth="1" min="5" max="5" width="12.14"/>
    <col customWidth="1" min="6" max="6" width="11.71"/>
    <col customWidth="1" min="7" max="7" width="12.57"/>
    <col customWidth="1" min="8" max="8" width="11.86"/>
    <col customWidth="1" min="9" max="9" width="11.71"/>
    <col customWidth="1" min="10" max="26" width="8.71"/>
  </cols>
  <sheetData>
    <row r="1">
      <c r="A1" s="1"/>
      <c r="B1" s="2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1"/>
      <c r="B2" s="3" t="s">
        <v>0</v>
      </c>
      <c r="C2" s="4"/>
      <c r="D2" s="4"/>
      <c r="E2" s="4"/>
      <c r="F2" s="4"/>
      <c r="G2" s="4"/>
      <c r="H2" s="4"/>
      <c r="I2" s="4"/>
      <c r="J2" s="5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4" ht="15.0" customHeight="1">
      <c r="B4" s="12" t="s">
        <v>629</v>
      </c>
    </row>
    <row r="5" ht="25.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18">
      <c r="B18" s="84" t="s">
        <v>630</v>
      </c>
      <c r="C18" s="4"/>
      <c r="D18" s="4"/>
      <c r="E18" s="4"/>
      <c r="F18" s="4"/>
      <c r="G18" s="4"/>
      <c r="H18" s="4"/>
      <c r="I18" s="5"/>
    </row>
    <row r="19" ht="24.0" customHeight="1">
      <c r="B19" s="85"/>
      <c r="C19" s="86" t="str">
        <f>'CÁLCULOS e GRAF AV1'!C15</f>
        <v>% Acertos por faixa etária</v>
      </c>
      <c r="D19" s="87"/>
      <c r="E19" s="87"/>
      <c r="F19" s="87"/>
      <c r="G19" s="87"/>
      <c r="H19" s="88"/>
      <c r="I19" s="89"/>
    </row>
    <row r="20">
      <c r="B20" s="90" t="str">
        <f>'CÁLCULOS e GRAF AV1'!B16</f>
        <v>ÁREA DE DESENVOLVIMENTO</v>
      </c>
      <c r="C20" s="45" t="str">
        <f>'CÁLCULOS e GRAF AV1'!C16</f>
        <v>0 - 1 ano</v>
      </c>
      <c r="D20" s="45" t="str">
        <f>'CÁLCULOS e GRAF AV1'!D16</f>
        <v>1 - 2 anos</v>
      </c>
      <c r="E20" s="45" t="str">
        <f>'CÁLCULOS e GRAF AV1'!E16</f>
        <v>2 - 3 anos</v>
      </c>
      <c r="F20" s="45" t="str">
        <f>'CÁLCULOS e GRAF AV1'!F16</f>
        <v>3 - 4 anos</v>
      </c>
      <c r="G20" s="45" t="str">
        <f>'CÁLCULOS e GRAF AV1'!G16</f>
        <v>4 - 5 anos</v>
      </c>
      <c r="H20" s="45" t="str">
        <f>'CÁLCULOS e GRAF AV1'!H16</f>
        <v>5 - 6 anos</v>
      </c>
      <c r="I20" s="91" t="str">
        <f>'CÁLCULOS e GRAF AV1'!I16</f>
        <v>% Acertos Total</v>
      </c>
    </row>
    <row r="21" ht="15.75" customHeight="1">
      <c r="B21" s="92" t="str">
        <f>'CÁLCULOS e GRAF AV1'!B17</f>
        <v>SOCIALIZAÇÃO</v>
      </c>
      <c r="C21" s="93">
        <f>'CÁLCULOS e GRAF AV1'!C17</f>
        <v>0</v>
      </c>
      <c r="D21" s="93">
        <f>'CÁLCULOS e GRAF AV1'!D17</f>
        <v>0</v>
      </c>
      <c r="E21" s="93">
        <f>'CÁLCULOS e GRAF AV1'!E17</f>
        <v>0</v>
      </c>
      <c r="F21" s="93">
        <f>'CÁLCULOS e GRAF AV1'!F17</f>
        <v>0</v>
      </c>
      <c r="G21" s="93">
        <f>'CÁLCULOS e GRAF AV1'!G17</f>
        <v>0</v>
      </c>
      <c r="H21" s="93">
        <f>'CÁLCULOS e GRAF AV1'!H17</f>
        <v>0</v>
      </c>
      <c r="I21" s="94">
        <f>'CÁLCULOS e GRAF AV1'!I17</f>
        <v>0</v>
      </c>
    </row>
    <row r="22" ht="15.75" customHeight="1">
      <c r="B22" s="92" t="str">
        <f>'CÁLCULOS e GRAF AV1'!B18</f>
        <v>LINGUAGEM</v>
      </c>
      <c r="C22" s="93">
        <f>'CÁLCULOS e GRAF AV1'!C18</f>
        <v>0</v>
      </c>
      <c r="D22" s="93">
        <f>'CÁLCULOS e GRAF AV1'!D18</f>
        <v>0</v>
      </c>
      <c r="E22" s="93">
        <f>'CÁLCULOS e GRAF AV1'!E18</f>
        <v>0</v>
      </c>
      <c r="F22" s="93">
        <f>'CÁLCULOS e GRAF AV1'!F18</f>
        <v>0</v>
      </c>
      <c r="G22" s="93">
        <f>'CÁLCULOS e GRAF AV1'!G18</f>
        <v>0</v>
      </c>
      <c r="H22" s="93">
        <f>'CÁLCULOS e GRAF AV1'!H18</f>
        <v>0</v>
      </c>
      <c r="I22" s="94">
        <f>'CÁLCULOS e GRAF AV1'!I18</f>
        <v>0</v>
      </c>
    </row>
    <row r="23" ht="15.75" customHeight="1">
      <c r="B23" s="92" t="str">
        <f>'CÁLCULOS e GRAF AV1'!B19</f>
        <v>COGNIÇÃO</v>
      </c>
      <c r="C23" s="93">
        <f>'CÁLCULOS e GRAF AV1'!C19</f>
        <v>0</v>
      </c>
      <c r="D23" s="93">
        <f>'CÁLCULOS e GRAF AV1'!D19</f>
        <v>0</v>
      </c>
      <c r="E23" s="93">
        <f>'CÁLCULOS e GRAF AV1'!E19</f>
        <v>0</v>
      </c>
      <c r="F23" s="93">
        <f>'CÁLCULOS e GRAF AV1'!F19</f>
        <v>0</v>
      </c>
      <c r="G23" s="93">
        <f>'CÁLCULOS e GRAF AV1'!G19</f>
        <v>0</v>
      </c>
      <c r="H23" s="93">
        <f>'CÁLCULOS e GRAF AV1'!H19</f>
        <v>0</v>
      </c>
      <c r="I23" s="94">
        <f>'CÁLCULOS e GRAF AV1'!I19</f>
        <v>0</v>
      </c>
    </row>
    <row r="24" ht="15.75" customHeight="1">
      <c r="B24" s="92" t="str">
        <f>'CÁLCULOS e GRAF AV1'!B20</f>
        <v>AUTOCUIDADOS</v>
      </c>
      <c r="C24" s="93">
        <f>'CÁLCULOS e GRAF AV1'!C20</f>
        <v>0</v>
      </c>
      <c r="D24" s="93">
        <f>'CÁLCULOS e GRAF AV1'!D20</f>
        <v>0</v>
      </c>
      <c r="E24" s="93">
        <f>'CÁLCULOS e GRAF AV1'!E20</f>
        <v>0.7777777778</v>
      </c>
      <c r="F24" s="93">
        <f>'CÁLCULOS e GRAF AV1'!F20</f>
        <v>0</v>
      </c>
      <c r="G24" s="93">
        <f>'CÁLCULOS e GRAF AV1'!G20</f>
        <v>0</v>
      </c>
      <c r="H24" s="93">
        <f>'CÁLCULOS e GRAF AV1'!H20</f>
        <v>0</v>
      </c>
      <c r="I24" s="94">
        <f>'CÁLCULOS e GRAF AV1'!I20</f>
        <v>0.2</v>
      </c>
    </row>
    <row r="25" ht="15.75" customHeight="1">
      <c r="B25" s="95" t="str">
        <f>'CÁLCULOS e GRAF AV1'!B21</f>
        <v>DESENVOLVIMENTO MOTOR</v>
      </c>
      <c r="C25" s="96">
        <f>'CÁLCULOS e GRAF AV1'!C21</f>
        <v>0</v>
      </c>
      <c r="D25" s="96">
        <f>'CÁLCULOS e GRAF AV1'!D21</f>
        <v>0</v>
      </c>
      <c r="E25" s="96">
        <f>'CÁLCULOS e GRAF AV1'!E21</f>
        <v>0.9411764706</v>
      </c>
      <c r="F25" s="96">
        <f>'CÁLCULOS e GRAF AV1'!F21</f>
        <v>0</v>
      </c>
      <c r="G25" s="96">
        <f>'CÁLCULOS e GRAF AV1'!G21</f>
        <v>0</v>
      </c>
      <c r="H25" s="96">
        <f>'CÁLCULOS e GRAF AV1'!H21</f>
        <v>0</v>
      </c>
      <c r="I25" s="97">
        <f>'CÁLCULOS e GRAF AV1'!I21</f>
        <v>0.1142857143</v>
      </c>
    </row>
    <row r="26" ht="15.75" customHeight="1"/>
    <row r="27" ht="15.75" customHeight="1">
      <c r="B27" s="84" t="s">
        <v>631</v>
      </c>
      <c r="C27" s="4"/>
      <c r="D27" s="4"/>
      <c r="E27" s="4"/>
      <c r="F27" s="4"/>
      <c r="G27" s="4"/>
      <c r="H27" s="4"/>
      <c r="I27" s="5"/>
    </row>
    <row r="28" ht="25.5" customHeight="1">
      <c r="B28" s="85"/>
      <c r="C28" s="86" t="str">
        <f>'CÁLCULOS E GRAF AV2'!C15</f>
        <v>% Acertos por faixa etária</v>
      </c>
      <c r="D28" s="87"/>
      <c r="E28" s="87"/>
      <c r="F28" s="87"/>
      <c r="G28" s="87"/>
      <c r="H28" s="88"/>
      <c r="I28" s="89"/>
    </row>
    <row r="29" ht="15.75" customHeight="1">
      <c r="B29" s="90" t="str">
        <f>'CÁLCULOS E GRAF AV2'!B16</f>
        <v>ÁREA DE DESENVOLVIMENTO</v>
      </c>
      <c r="C29" s="45" t="str">
        <f>'CÁLCULOS E GRAF AV2'!C16</f>
        <v>0 - 1 ano</v>
      </c>
      <c r="D29" s="45" t="str">
        <f>'CÁLCULOS E GRAF AV2'!D16</f>
        <v>1 - 2 anos</v>
      </c>
      <c r="E29" s="45" t="str">
        <f>'CÁLCULOS E GRAF AV2'!E16</f>
        <v>2 - 3 anos</v>
      </c>
      <c r="F29" s="45" t="str">
        <f>'CÁLCULOS E GRAF AV2'!F16</f>
        <v>3 - 4 anos</v>
      </c>
      <c r="G29" s="45" t="str">
        <f>'CÁLCULOS E GRAF AV2'!G16</f>
        <v>4 - 5 anos</v>
      </c>
      <c r="H29" s="45" t="str">
        <f>'CÁLCULOS E GRAF AV2'!H16</f>
        <v>5 - 6 anos</v>
      </c>
      <c r="I29" s="91" t="str">
        <f>'CÁLCULOS E GRAF AV2'!I16</f>
        <v>% Acertos Total</v>
      </c>
    </row>
    <row r="30" ht="15.75" customHeight="1">
      <c r="B30" s="92" t="str">
        <f>'CÁLCULOS E GRAF AV2'!B17</f>
        <v>SOCIALIZAÇÃO</v>
      </c>
      <c r="C30" s="93">
        <f>'CÁLCULOS E GRAF AV2'!C17</f>
        <v>0.05357142857</v>
      </c>
      <c r="D30" s="93">
        <f>'CÁLCULOS E GRAF AV2'!D17</f>
        <v>0</v>
      </c>
      <c r="E30" s="93">
        <f>'CÁLCULOS E GRAF AV2'!E17</f>
        <v>0</v>
      </c>
      <c r="F30" s="93">
        <f>'CÁLCULOS E GRAF AV2'!F17</f>
        <v>0</v>
      </c>
      <c r="G30" s="93">
        <f>'CÁLCULOS E GRAF AV2'!G17</f>
        <v>0</v>
      </c>
      <c r="H30" s="93">
        <f>'CÁLCULOS E GRAF AV2'!H17</f>
        <v>0</v>
      </c>
      <c r="I30" s="94">
        <f>'CÁLCULOS E GRAF AV2'!I17</f>
        <v>0.01807228916</v>
      </c>
    </row>
    <row r="31" ht="15.75" customHeight="1">
      <c r="B31" s="92" t="str">
        <f>'CÁLCULOS E GRAF AV2'!B18</f>
        <v>LINGUAGEM</v>
      </c>
      <c r="C31" s="93">
        <f>'CÁLCULOS E GRAF AV2'!C18</f>
        <v>0</v>
      </c>
      <c r="D31" s="93">
        <f>'CÁLCULOS E GRAF AV2'!D18</f>
        <v>0</v>
      </c>
      <c r="E31" s="93">
        <f>'CÁLCULOS E GRAF AV2'!E18</f>
        <v>0</v>
      </c>
      <c r="F31" s="93">
        <f>'CÁLCULOS E GRAF AV2'!F18</f>
        <v>0</v>
      </c>
      <c r="G31" s="93">
        <f>'CÁLCULOS E GRAF AV2'!G18</f>
        <v>0</v>
      </c>
      <c r="H31" s="93">
        <f>'CÁLCULOS E GRAF AV2'!H18</f>
        <v>0</v>
      </c>
      <c r="I31" s="94">
        <f>'CÁLCULOS E GRAF AV2'!I18</f>
        <v>0</v>
      </c>
    </row>
    <row r="32" ht="15.75" customHeight="1">
      <c r="B32" s="92" t="str">
        <f>'CÁLCULOS E GRAF AV2'!B19</f>
        <v>COGNIÇÃO</v>
      </c>
      <c r="C32" s="93">
        <f>'CÁLCULOS E GRAF AV2'!C19</f>
        <v>0</v>
      </c>
      <c r="D32" s="93">
        <f>'CÁLCULOS E GRAF AV2'!D19</f>
        <v>0</v>
      </c>
      <c r="E32" s="93">
        <f>'CÁLCULOS E GRAF AV2'!E19</f>
        <v>0</v>
      </c>
      <c r="F32" s="93">
        <f>'CÁLCULOS E GRAF AV2'!F19</f>
        <v>0</v>
      </c>
      <c r="G32" s="93">
        <f>'CÁLCULOS E GRAF AV2'!G19</f>
        <v>0</v>
      </c>
      <c r="H32" s="93">
        <f>'CÁLCULOS E GRAF AV2'!H19</f>
        <v>0</v>
      </c>
      <c r="I32" s="94">
        <f>'CÁLCULOS E GRAF AV2'!I19</f>
        <v>0</v>
      </c>
    </row>
    <row r="33" ht="15.75" customHeight="1">
      <c r="B33" s="92" t="str">
        <f>'CÁLCULOS E GRAF AV2'!B20</f>
        <v>AUTOCUIDADOS</v>
      </c>
      <c r="C33" s="93">
        <f>'CÁLCULOS E GRAF AV2'!C20</f>
        <v>0</v>
      </c>
      <c r="D33" s="93">
        <f>'CÁLCULOS E GRAF AV2'!D20</f>
        <v>0</v>
      </c>
      <c r="E33" s="93">
        <f>'CÁLCULOS E GRAF AV2'!E20</f>
        <v>0</v>
      </c>
      <c r="F33" s="93">
        <f>'CÁLCULOS E GRAF AV2'!F20</f>
        <v>0</v>
      </c>
      <c r="G33" s="93">
        <f>'CÁLCULOS E GRAF AV2'!G20</f>
        <v>0</v>
      </c>
      <c r="H33" s="93">
        <f>'CÁLCULOS E GRAF AV2'!H20</f>
        <v>0</v>
      </c>
      <c r="I33" s="94">
        <f>'CÁLCULOS E GRAF AV2'!I20</f>
        <v>0</v>
      </c>
    </row>
    <row r="34" ht="15.75" customHeight="1">
      <c r="B34" s="95" t="str">
        <f>'CÁLCULOS E GRAF AV2'!B21</f>
        <v>DESENVOLVIMENTO MOTOR</v>
      </c>
      <c r="C34" s="96">
        <f>'CÁLCULOS E GRAF AV2'!C21</f>
        <v>0</v>
      </c>
      <c r="D34" s="96">
        <f>'CÁLCULOS E GRAF AV2'!D21</f>
        <v>0</v>
      </c>
      <c r="E34" s="96">
        <f>'CÁLCULOS E GRAF AV2'!E21</f>
        <v>0</v>
      </c>
      <c r="F34" s="96">
        <f>'CÁLCULOS E GRAF AV2'!F21</f>
        <v>0</v>
      </c>
      <c r="G34" s="96">
        <f>'CÁLCULOS E GRAF AV2'!G21</f>
        <v>0</v>
      </c>
      <c r="H34" s="96">
        <f>'CÁLCULOS E GRAF AV2'!H21</f>
        <v>0</v>
      </c>
      <c r="I34" s="97">
        <f>'CÁLCULOS E GRAF AV2'!I21</f>
        <v>0</v>
      </c>
    </row>
    <row r="35" ht="15.75" customHeight="1"/>
    <row r="36" ht="15.75" customHeight="1">
      <c r="B36" s="84" t="s">
        <v>632</v>
      </c>
      <c r="C36" s="4"/>
      <c r="D36" s="4"/>
      <c r="E36" s="4"/>
      <c r="F36" s="4"/>
      <c r="G36" s="4"/>
      <c r="H36" s="4"/>
      <c r="I36" s="5"/>
    </row>
    <row r="37" ht="19.5" customHeight="1">
      <c r="B37" s="85"/>
      <c r="C37" s="86" t="str">
        <f>'CÁLCULOS E GRÁF AV3'!C15</f>
        <v>% Acertos por faixa etária</v>
      </c>
      <c r="D37" s="87"/>
      <c r="E37" s="87"/>
      <c r="F37" s="87"/>
      <c r="G37" s="87"/>
      <c r="H37" s="88"/>
      <c r="I37" s="89"/>
    </row>
    <row r="38" ht="15.75" customHeight="1">
      <c r="B38" s="90" t="str">
        <f>'CÁLCULOS E GRÁF AV3'!B16</f>
        <v>ÁREA DE DESENVOLVIMENTO</v>
      </c>
      <c r="C38" s="45" t="str">
        <f>'CÁLCULOS E GRÁF AV3'!C16</f>
        <v>0 - 1 ano</v>
      </c>
      <c r="D38" s="45" t="str">
        <f>'CÁLCULOS E GRÁF AV3'!D16</f>
        <v>1 - 2 anos</v>
      </c>
      <c r="E38" s="45" t="str">
        <f>'CÁLCULOS E GRÁF AV3'!E16</f>
        <v>2 - 3 anos</v>
      </c>
      <c r="F38" s="45" t="str">
        <f>'CÁLCULOS E GRÁF AV3'!F16</f>
        <v>3 - 4 anos</v>
      </c>
      <c r="G38" s="45" t="str">
        <f>'CÁLCULOS E GRÁF AV3'!G16</f>
        <v>4 - 5 anos</v>
      </c>
      <c r="H38" s="45" t="str">
        <f>'CÁLCULOS E GRÁF AV3'!H16</f>
        <v>5 - 6 anos</v>
      </c>
      <c r="I38" s="91" t="str">
        <f>'CÁLCULOS E GRÁF AV3'!I16</f>
        <v>% Acertos Total</v>
      </c>
    </row>
    <row r="39" ht="15.75" customHeight="1">
      <c r="B39" s="92" t="str">
        <f>'CÁLCULOS E GRÁF AV3'!B17</f>
        <v>SOCIALIZAÇÃO</v>
      </c>
      <c r="C39" s="93">
        <f>'CÁLCULOS E GRÁF AV3'!C17</f>
        <v>0.05357142857</v>
      </c>
      <c r="D39" s="93">
        <f>'CÁLCULOS E GRÁF AV3'!D17</f>
        <v>0</v>
      </c>
      <c r="E39" s="93">
        <f>'CÁLCULOS E GRÁF AV3'!E17</f>
        <v>0</v>
      </c>
      <c r="F39" s="93">
        <f>'CÁLCULOS E GRÁF AV3'!F17</f>
        <v>0</v>
      </c>
      <c r="G39" s="93">
        <f>'CÁLCULOS E GRÁF AV3'!G17</f>
        <v>0</v>
      </c>
      <c r="H39" s="93">
        <f>'CÁLCULOS E GRÁF AV3'!H17</f>
        <v>0</v>
      </c>
      <c r="I39" s="94">
        <f>'CÁLCULOS E GRÁF AV3'!I17</f>
        <v>0.01807228916</v>
      </c>
    </row>
    <row r="40" ht="15.75" customHeight="1">
      <c r="B40" s="92" t="str">
        <f>'CÁLCULOS E GRÁF AV3'!B18</f>
        <v>LINGUAGEM</v>
      </c>
      <c r="C40" s="93">
        <f>'CÁLCULOS E GRÁF AV3'!C18</f>
        <v>0</v>
      </c>
      <c r="D40" s="93">
        <f>'CÁLCULOS E GRÁF AV3'!D18</f>
        <v>0</v>
      </c>
      <c r="E40" s="93">
        <f>'CÁLCULOS E GRÁF AV3'!E18</f>
        <v>0</v>
      </c>
      <c r="F40" s="93">
        <f>'CÁLCULOS E GRÁF AV3'!F18</f>
        <v>0</v>
      </c>
      <c r="G40" s="93">
        <f>'CÁLCULOS E GRÁF AV3'!G18</f>
        <v>0</v>
      </c>
      <c r="H40" s="93">
        <f>'CÁLCULOS E GRÁF AV3'!H18</f>
        <v>0</v>
      </c>
      <c r="I40" s="94">
        <f>'CÁLCULOS E GRÁF AV3'!I18</f>
        <v>0</v>
      </c>
    </row>
    <row r="41" ht="15.75" customHeight="1">
      <c r="B41" s="92" t="str">
        <f>'CÁLCULOS E GRÁF AV3'!B19</f>
        <v>COGNIÇÃO</v>
      </c>
      <c r="C41" s="93">
        <f>'CÁLCULOS E GRÁF AV3'!C19</f>
        <v>0</v>
      </c>
      <c r="D41" s="93">
        <f>'CÁLCULOS E GRÁF AV3'!D19</f>
        <v>0</v>
      </c>
      <c r="E41" s="93">
        <f>'CÁLCULOS E GRÁF AV3'!E19</f>
        <v>0</v>
      </c>
      <c r="F41" s="93">
        <f>'CÁLCULOS E GRÁF AV3'!F19</f>
        <v>0</v>
      </c>
      <c r="G41" s="93">
        <f>'CÁLCULOS E GRÁF AV3'!G19</f>
        <v>0</v>
      </c>
      <c r="H41" s="93">
        <f>'CÁLCULOS E GRÁF AV3'!H19</f>
        <v>0</v>
      </c>
      <c r="I41" s="94">
        <f>'CÁLCULOS E GRÁF AV3'!I19</f>
        <v>0</v>
      </c>
    </row>
    <row r="42" ht="15.75" customHeight="1">
      <c r="B42" s="92" t="str">
        <f>'CÁLCULOS E GRÁF AV3'!B20</f>
        <v>AUTOCUIDADOS</v>
      </c>
      <c r="C42" s="93">
        <f>'CÁLCULOS E GRÁF AV3'!C20</f>
        <v>0</v>
      </c>
      <c r="D42" s="93">
        <f>'CÁLCULOS E GRÁF AV3'!D20</f>
        <v>0</v>
      </c>
      <c r="E42" s="93">
        <f>'CÁLCULOS E GRÁF AV3'!E20</f>
        <v>0</v>
      </c>
      <c r="F42" s="93">
        <f>'CÁLCULOS E GRÁF AV3'!F20</f>
        <v>0</v>
      </c>
      <c r="G42" s="93">
        <f>'CÁLCULOS E GRÁF AV3'!G20</f>
        <v>0</v>
      </c>
      <c r="H42" s="93">
        <f>'CÁLCULOS E GRÁF AV3'!H20</f>
        <v>0</v>
      </c>
      <c r="I42" s="94">
        <f>'CÁLCULOS E GRÁF AV3'!I20</f>
        <v>0</v>
      </c>
    </row>
    <row r="43" ht="15.75" customHeight="1">
      <c r="B43" s="95" t="str">
        <f>'CÁLCULOS E GRÁF AV3'!B21</f>
        <v>DESENVOLVIMENTO MOTOR</v>
      </c>
      <c r="C43" s="96">
        <f>'CÁLCULOS E GRÁF AV3'!C21</f>
        <v>0</v>
      </c>
      <c r="D43" s="96">
        <f>'CÁLCULOS E GRÁF AV3'!D21</f>
        <v>0</v>
      </c>
      <c r="E43" s="96">
        <f>'CÁLCULOS E GRÁF AV3'!E21</f>
        <v>0</v>
      </c>
      <c r="F43" s="96">
        <f>'CÁLCULOS E GRÁF AV3'!F21</f>
        <v>0</v>
      </c>
      <c r="G43" s="96">
        <f>'CÁLCULOS E GRÁF AV3'!G21</f>
        <v>0</v>
      </c>
      <c r="H43" s="96">
        <f>'CÁLCULOS E GRÁF AV3'!H21</f>
        <v>0</v>
      </c>
      <c r="I43" s="97">
        <f>'CÁLCULOS E GRÁF AV3'!I21</f>
        <v>0</v>
      </c>
    </row>
    <row r="44" ht="15.75" customHeight="1"/>
    <row r="45" ht="15.75" customHeight="1">
      <c r="B45" s="85"/>
      <c r="C45" s="86" t="s">
        <v>633</v>
      </c>
      <c r="D45" s="87"/>
      <c r="E45" s="98"/>
    </row>
    <row r="46" ht="15.75" customHeight="1">
      <c r="B46" s="99" t="s">
        <v>597</v>
      </c>
      <c r="C46" s="100" t="s">
        <v>634</v>
      </c>
      <c r="D46" s="100" t="s">
        <v>635</v>
      </c>
      <c r="E46" s="101" t="s">
        <v>636</v>
      </c>
    </row>
    <row r="47" ht="15.75" customHeight="1">
      <c r="B47" s="102" t="s">
        <v>9</v>
      </c>
      <c r="C47" s="103">
        <f t="shared" ref="C47:C51" si="1">I21</f>
        <v>0</v>
      </c>
      <c r="D47" s="103">
        <f t="shared" ref="D47:D51" si="2">I30</f>
        <v>0.01807228916</v>
      </c>
      <c r="E47" s="104">
        <f t="shared" ref="E47:E51" si="3">I39</f>
        <v>0.01807228916</v>
      </c>
    </row>
    <row r="48" ht="15.75" customHeight="1">
      <c r="B48" s="92" t="s">
        <v>10</v>
      </c>
      <c r="C48" s="93">
        <f t="shared" si="1"/>
        <v>0</v>
      </c>
      <c r="D48" s="93">
        <f t="shared" si="2"/>
        <v>0</v>
      </c>
      <c r="E48" s="94">
        <f t="shared" si="3"/>
        <v>0</v>
      </c>
    </row>
    <row r="49" ht="15.75" customHeight="1">
      <c r="B49" s="92" t="s">
        <v>11</v>
      </c>
      <c r="C49" s="93">
        <f t="shared" si="1"/>
        <v>0</v>
      </c>
      <c r="D49" s="93">
        <f t="shared" si="2"/>
        <v>0</v>
      </c>
      <c r="E49" s="94">
        <f t="shared" si="3"/>
        <v>0</v>
      </c>
    </row>
    <row r="50" ht="15.75" customHeight="1">
      <c r="B50" s="92" t="s">
        <v>12</v>
      </c>
      <c r="C50" s="93">
        <f t="shared" si="1"/>
        <v>0.2</v>
      </c>
      <c r="D50" s="93">
        <f t="shared" si="2"/>
        <v>0</v>
      </c>
      <c r="E50" s="94">
        <f t="shared" si="3"/>
        <v>0</v>
      </c>
    </row>
    <row r="51" ht="15.75" customHeight="1">
      <c r="B51" s="95" t="s">
        <v>13</v>
      </c>
      <c r="C51" s="96">
        <f t="shared" si="1"/>
        <v>0.1142857143</v>
      </c>
      <c r="D51" s="96">
        <f t="shared" si="2"/>
        <v>0</v>
      </c>
      <c r="E51" s="97">
        <f t="shared" si="3"/>
        <v>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37:H37"/>
    <mergeCell ref="C45:E45"/>
    <mergeCell ref="B2:J2"/>
    <mergeCell ref="B4:J4"/>
    <mergeCell ref="B18:I18"/>
    <mergeCell ref="C19:H19"/>
    <mergeCell ref="B27:I27"/>
    <mergeCell ref="C28:H28"/>
    <mergeCell ref="B36:I36"/>
  </mergeCells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2023-03-13T13:47:26Z</dcterms:created>
  <dc:creator>Roberto Assaife</dc:creator>
</cp:coreProperties>
</file>